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4c158f7cf9207e/Documents/"/>
    </mc:Choice>
  </mc:AlternateContent>
  <xr:revisionPtr revIDLastSave="2" documentId="8_{62A262EF-D216-4604-BD27-4C291B617829}" xr6:coauthVersionLast="47" xr6:coauthVersionMax="47" xr10:uidLastSave="{467ADEE6-B6F7-4520-BDA6-5F7CFD876EB0}"/>
  <bookViews>
    <workbookView xWindow="-98" yWindow="-98" windowWidth="23236" windowHeight="13875" activeTab="4" xr2:uid="{00000000-000D-0000-FFFF-FFFF00000000}"/>
  </bookViews>
  <sheets>
    <sheet name="Cleaned Dataset" sheetId="2" r:id="rId1"/>
    <sheet name="PivotChart1" sheetId="10" r:id="rId2"/>
    <sheet name="PivotChart2" sheetId="11" r:id="rId3"/>
    <sheet name="PivotChart3" sheetId="9" r:id="rId4"/>
    <sheet name="Analysis &amp; Insights" sheetId="13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</calcChain>
</file>

<file path=xl/sharedStrings.xml><?xml version="1.0" encoding="utf-8"?>
<sst xmlns="http://schemas.openxmlformats.org/spreadsheetml/2006/main" count="957" uniqueCount="171">
  <si>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</si>
  <si>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</si>
  <si>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</si>
  <si>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</si>
  <si>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</si>
  <si>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</si>
  <si>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</si>
  <si>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</si>
  <si>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</si>
  <si>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</si>
  <si>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</si>
  <si>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</si>
  <si>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</si>
  <si>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</si>
  <si>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</si>
  <si>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</si>
  <si>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</si>
  <si>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</si>
  <si>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</si>
  <si>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</si>
  <si>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</si>
  <si>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</si>
  <si>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</si>
  <si>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</si>
  <si>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</si>
  <si>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</si>
  <si>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</si>
  <si>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</si>
  <si>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</si>
  <si>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</si>
  <si>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</si>
  <si>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</si>
  <si>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</si>
  <si>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</si>
  <si>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</si>
  <si>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</si>
  <si>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</si>
  <si>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</si>
  <si>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</si>
  <si>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</si>
  <si>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</si>
  <si>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</si>
  <si>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</si>
  <si>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</si>
  <si>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</si>
  <si>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</si>
  <si>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</si>
  <si>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</si>
  <si>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</si>
  <si>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</si>
  <si>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</si>
  <si>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</si>
  <si>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</si>
  <si>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</si>
  <si>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</si>
  <si>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</si>
  <si>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</si>
  <si>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</si>
  <si>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</si>
  <si>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</si>
  <si>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</si>
  <si>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</si>
  <si>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</si>
  <si>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</si>
  <si>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</si>
  <si>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</si>
  <si>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</si>
  <si>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</si>
  <si>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</si>
  <si>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</si>
  <si>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</si>
  <si>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</si>
  <si>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</si>
  <si>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</si>
  <si>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</si>
  <si>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</si>
  <si>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</si>
  <si>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</si>
  <si>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</si>
  <si>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</si>
  <si>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</si>
  <si>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</si>
  <si>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</si>
  <si>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</si>
  <si>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</si>
  <si>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</si>
  <si>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</si>
  <si>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</si>
  <si>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</si>
  <si>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</si>
  <si>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</si>
  <si>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</si>
  <si>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</si>
  <si>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</si>
  <si>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</si>
  <si>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</si>
  <si>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</si>
  <si>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</si>
  <si>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</si>
  <si>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</si>
  <si>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</si>
  <si>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</si>
  <si>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</si>
  <si>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</si>
  <si>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</si>
  <si>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</si>
  <si>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</si>
  <si>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</si>
  <si>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</si>
  <si>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</si>
  <si>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</si>
  <si>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</si>
  <si>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</si>
  <si>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</si>
  <si>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</si>
  <si>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</si>
  <si>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</si>
  <si>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</si>
  <si>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</si>
  <si>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</si>
  <si>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</si>
  <si>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</si>
  <si>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</si>
  <si>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</si>
  <si>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</si>
  <si>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</si>
  <si>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</si>
  <si>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</si>
  <si>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</si>
  <si>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</si>
  <si>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</si>
  <si>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</si>
  <si>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</si>
  <si>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</si>
  <si>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</si>
  <si>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</si>
  <si>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</si>
  <si>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</si>
  <si>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</si>
  <si>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</si>
  <si>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</si>
  <si>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</si>
  <si>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</si>
  <si>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</si>
  <si>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Female</t>
  </si>
  <si>
    <t>Male</t>
  </si>
  <si>
    <t>Row Labels</t>
  </si>
  <si>
    <t>Grand Total</t>
  </si>
  <si>
    <t>Column Labels</t>
  </si>
  <si>
    <t>Sum of Order_Quantity</t>
  </si>
  <si>
    <t>Customer Analysis Insights (Pivot Table &amp; Charts)</t>
  </si>
  <si>
    <t>Overall Summary</t>
  </si>
  <si>
    <t>Sales are primarily concentrated in the United States and Australia, while weaker performance is observed in Canada and Germany.</t>
  </si>
  <si>
    <r>
      <t xml:space="preserve">Across all markets, the </t>
    </r>
    <r>
      <rPr>
        <b/>
        <sz val="11"/>
        <color theme="1"/>
        <rFont val="Calibri"/>
        <family val="2"/>
        <scheme val="minor"/>
      </rPr>
      <t>Adults (35–64)</t>
    </r>
    <r>
      <rPr>
        <sz val="11"/>
        <color theme="1"/>
        <rFont val="Calibri"/>
        <family val="2"/>
        <scheme val="minor"/>
      </rPr>
      <t xml:space="preserve"> segment is the dominant customer group, while </t>
    </r>
    <r>
      <rPr>
        <b/>
        <sz val="11"/>
        <color theme="1"/>
        <rFont val="Calibri"/>
        <family val="2"/>
        <scheme val="minor"/>
      </rPr>
      <t>Youth customers are the least engaged segment</t>
    </r>
    <r>
      <rPr>
        <sz val="11"/>
        <color theme="1"/>
        <rFont val="Calibri"/>
        <family val="2"/>
        <scheme val="minor"/>
      </rPr>
      <t>.</t>
    </r>
  </si>
  <si>
    <t>Market Overview</t>
  </si>
  <si>
    <r>
      <t>Canada records the lowest activity</t>
    </r>
    <r>
      <rPr>
        <sz val="11"/>
        <color theme="1"/>
        <rFont val="Calibri"/>
        <family val="2"/>
        <scheme val="minor"/>
      </rPr>
      <t>, indicating very weak market penetration.</t>
    </r>
  </si>
  <si>
    <r>
      <t xml:space="preserve">France, Germany, and the United Kingdom show </t>
    </r>
    <r>
      <rPr>
        <b/>
        <sz val="11"/>
        <color theme="1"/>
        <rFont val="Calibri"/>
        <family val="2"/>
        <scheme val="minor"/>
      </rPr>
      <t>moderate</t>
    </r>
    <r>
      <rPr>
        <sz val="11"/>
        <color theme="1"/>
        <rFont val="Calibri"/>
        <family val="2"/>
        <scheme val="minor"/>
      </rPr>
      <t xml:space="preserve"> performance.</t>
    </r>
  </si>
  <si>
    <t>Customer Segments Analysis</t>
  </si>
  <si>
    <r>
      <t>Young Adults (25–34)</t>
    </r>
    <r>
      <rPr>
        <sz val="11"/>
        <color theme="1"/>
        <rFont val="Calibri"/>
        <family val="2"/>
        <scheme val="minor"/>
      </rPr>
      <t xml:space="preserve"> show moderate engagement, especially in Australia, France, and the United States.</t>
    </r>
  </si>
  <si>
    <r>
      <rPr>
        <b/>
        <sz val="11"/>
        <color theme="1"/>
        <rFont val="Calibri"/>
        <family val="2"/>
        <scheme val="minor"/>
      </rPr>
      <t>The Adults (35–64)</t>
    </r>
    <r>
      <rPr>
        <sz val="11"/>
        <color theme="1"/>
        <rFont val="Calibri"/>
        <family val="2"/>
        <scheme val="minor"/>
      </rPr>
      <t xml:space="preserve"> group is the most dominant segment across all countries, contributing the highest order volumes.</t>
    </r>
  </si>
  <si>
    <r>
      <t xml:space="preserve">The </t>
    </r>
    <r>
      <rPr>
        <b/>
        <sz val="11"/>
        <color theme="1"/>
        <rFont val="Calibri"/>
        <family val="2"/>
        <scheme val="minor"/>
      </rPr>
      <t>Youth (&lt;25)</t>
    </r>
    <r>
      <rPr>
        <sz val="11"/>
        <color theme="1"/>
        <rFont val="Calibri"/>
        <family val="2"/>
        <scheme val="minor"/>
      </rPr>
      <t xml:space="preserve"> segment is the smallest and least consistent across markets, with several countries showing no activity at all.</t>
    </r>
  </si>
  <si>
    <t>Gender Distribution Insights</t>
  </si>
  <si>
    <t>Female customers consistently outperform male customers across all age groups, indicating a slight but stable gender skew toward female purchasing behavior in this dataset.</t>
  </si>
  <si>
    <r>
      <t xml:space="preserve">However, the gender gap is not extreme, suggesting that </t>
    </r>
    <r>
      <rPr>
        <b/>
        <sz val="11"/>
        <color theme="1"/>
        <rFont val="Calibri"/>
        <family val="2"/>
        <scheme val="minor"/>
      </rPr>
      <t>age is a stronger driver of purchasing behavior than gender</t>
    </r>
    <r>
      <rPr>
        <sz val="11"/>
        <color theme="1"/>
        <rFont val="Calibri"/>
        <family val="2"/>
        <scheme val="minor"/>
      </rPr>
      <t>.</t>
    </r>
  </si>
  <si>
    <t>Recommendations</t>
  </si>
  <si>
    <t>Prioritize marketing strategies targeting the Adult segment, as it drives most sales.</t>
  </si>
  <si>
    <r>
      <t xml:space="preserve">Develop campaigns to increase </t>
    </r>
    <r>
      <rPr>
        <b/>
        <sz val="11"/>
        <color theme="1"/>
        <rFont val="Calibri"/>
        <family val="2"/>
        <scheme val="minor"/>
      </rPr>
      <t>Youth participation</t>
    </r>
    <r>
      <rPr>
        <sz val="11"/>
        <color theme="1"/>
        <rFont val="Calibri"/>
        <family val="2"/>
        <scheme val="minor"/>
      </rPr>
      <t>, especially in Canada and Germany.</t>
    </r>
  </si>
  <si>
    <r>
      <t xml:space="preserve">Since gender differences are minimal overall, focus more on </t>
    </r>
    <r>
      <rPr>
        <b/>
        <sz val="11"/>
        <color theme="1"/>
        <rFont val="Calibri"/>
        <family val="2"/>
        <scheme val="minor"/>
      </rPr>
      <t>age-based segmentation rather than gender-based targeting</t>
    </r>
    <r>
      <rPr>
        <sz val="11"/>
        <color theme="1"/>
        <rFont val="Calibri"/>
        <family val="2"/>
        <scheme val="minor"/>
      </rPr>
      <t>.</t>
    </r>
  </si>
  <si>
    <r>
      <t xml:space="preserve">Maintain strong positioning in the </t>
    </r>
    <r>
      <rPr>
        <b/>
        <sz val="11"/>
        <color theme="1"/>
        <rFont val="Calibri"/>
        <family val="2"/>
        <scheme val="minor"/>
      </rPr>
      <t>US and Australia</t>
    </r>
    <r>
      <rPr>
        <sz val="11"/>
        <color theme="1"/>
        <rFont val="Calibri"/>
        <family val="2"/>
        <scheme val="minor"/>
      </rPr>
      <t>, as they are the most stable and diversified markets.</t>
    </r>
  </si>
  <si>
    <r>
      <t xml:space="preserve">The </t>
    </r>
    <r>
      <rPr>
        <b/>
        <sz val="11"/>
        <color theme="1"/>
        <rFont val="Calibri"/>
        <family val="2"/>
        <scheme val="minor"/>
      </rPr>
      <t>United States (highest)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Australia</t>
    </r>
    <r>
      <rPr>
        <sz val="11"/>
        <color theme="1"/>
        <rFont val="Calibri"/>
        <family val="2"/>
        <scheme val="minor"/>
      </rPr>
      <t xml:space="preserve"> consistently show the strongest order quantities.</t>
    </r>
  </si>
  <si>
    <r>
      <t xml:space="preserve">In terms of gender distribution, </t>
    </r>
    <r>
      <rPr>
        <b/>
        <sz val="11"/>
        <color theme="1"/>
        <rFont val="Calibri"/>
        <family val="2"/>
        <scheme val="minor"/>
      </rPr>
      <t>males and females are relatively balanced</t>
    </r>
    <r>
      <rPr>
        <sz val="11"/>
        <color theme="1"/>
        <rFont val="Calibri"/>
        <family val="2"/>
        <scheme val="minor"/>
      </rPr>
      <t>, but patterns vary more by country and age group.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</si>
</sst>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Australia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Adults (35-64) Female</c:v>
              </c:pt>
              <c:pt idx="1">
                <c:v>Adults (35-64) Male</c:v>
              </c:pt>
              <c:pt idx="2">
                <c:v>Young Adults (25-34) Female</c:v>
              </c:pt>
              <c:pt idx="3">
                <c:v>Young Adults (25-34) Male</c:v>
              </c:pt>
              <c:pt idx="4">
                <c:v>Youth (&lt;25) Female</c:v>
              </c:pt>
              <c:pt idx="5">
                <c:v>Youth (&lt;25) Male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14</c:v>
              </c:pt>
              <c:pt idx="2">
                <c:v>17</c:v>
              </c:pt>
              <c:pt idx="3">
                <c:v>3</c:v>
              </c:pt>
              <c:pt idx="4">
                <c:v>9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6156-4FB2-8B7E-DD30EA3076F5}"/>
            </c:ext>
          </c:extLst>
        </c:ser>
        <c:ser>
          <c:idx val="1"/>
          <c:order val="1"/>
          <c:tx>
            <c:v>Canada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Adults (35-64) Female</c:v>
              </c:pt>
              <c:pt idx="1">
                <c:v>Adults (35-64) Male</c:v>
              </c:pt>
              <c:pt idx="2">
                <c:v>Young Adults (25-34) Female</c:v>
              </c:pt>
              <c:pt idx="3">
                <c:v>Young Adults (25-34) Male</c:v>
              </c:pt>
              <c:pt idx="4">
                <c:v>Youth (&lt;25) Female</c:v>
              </c:pt>
              <c:pt idx="5">
                <c:v>Youth (&lt;25) Male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6</c:v>
              </c:pt>
              <c:pt idx="3">
                <c:v>5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156-4FB2-8B7E-DD30EA3076F5}"/>
            </c:ext>
          </c:extLst>
        </c:ser>
        <c:ser>
          <c:idx val="2"/>
          <c:order val="2"/>
          <c:tx>
            <c:v>France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Adults (35-64) Female</c:v>
              </c:pt>
              <c:pt idx="1">
                <c:v>Adults (35-64) Male</c:v>
              </c:pt>
              <c:pt idx="2">
                <c:v>Young Adults (25-34) Female</c:v>
              </c:pt>
              <c:pt idx="3">
                <c:v>Young Adults (25-34) Male</c:v>
              </c:pt>
              <c:pt idx="4">
                <c:v>Youth (&lt;25) Female</c:v>
              </c:pt>
              <c:pt idx="5">
                <c:v>Youth (&lt;25) Male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9</c:v>
              </c:pt>
              <c:pt idx="4">
                <c:v>6</c:v>
              </c:pt>
              <c:pt idx="5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6156-4FB2-8B7E-DD30EA3076F5}"/>
            </c:ext>
          </c:extLst>
        </c:ser>
        <c:ser>
          <c:idx val="3"/>
          <c:order val="3"/>
          <c:tx>
            <c:v>Germany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Adults (35-64) Female</c:v>
              </c:pt>
              <c:pt idx="1">
                <c:v>Adults (35-64) Male</c:v>
              </c:pt>
              <c:pt idx="2">
                <c:v>Young Adults (25-34) Female</c:v>
              </c:pt>
              <c:pt idx="3">
                <c:v>Young Adults (25-34) Male</c:v>
              </c:pt>
              <c:pt idx="4">
                <c:v>Youth (&lt;25) Female</c:v>
              </c:pt>
              <c:pt idx="5">
                <c:v>Youth (&lt;25) Male</c:v>
              </c:pt>
            </c:strLit>
          </c:cat>
          <c:val>
            <c:numLit>
              <c:formatCode>General</c:formatCode>
              <c:ptCount val="6"/>
              <c:pt idx="0">
                <c:v>8</c:v>
              </c:pt>
              <c:pt idx="1">
                <c:v>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6156-4FB2-8B7E-DD30EA3076F5}"/>
            </c:ext>
          </c:extLst>
        </c:ser>
        <c:ser>
          <c:idx val="4"/>
          <c:order val="4"/>
          <c:tx>
            <c:v>United Kingdom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Adults (35-64) Female</c:v>
              </c:pt>
              <c:pt idx="1">
                <c:v>Adults (35-64) Male</c:v>
              </c:pt>
              <c:pt idx="2">
                <c:v>Young Adults (25-34) Female</c:v>
              </c:pt>
              <c:pt idx="3">
                <c:v>Young Adults (25-34) Male</c:v>
              </c:pt>
              <c:pt idx="4">
                <c:v>Youth (&lt;25) Female</c:v>
              </c:pt>
              <c:pt idx="5">
                <c:v>Youth (&lt;25) Male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3</c:v>
              </c:pt>
              <c:pt idx="2">
                <c:v>3</c:v>
              </c:pt>
              <c:pt idx="3">
                <c:v>1</c:v>
              </c:pt>
              <c:pt idx="4">
                <c:v>1</c:v>
              </c:pt>
              <c:pt idx="5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4-6156-4FB2-8B7E-DD30EA3076F5}"/>
            </c:ext>
          </c:extLst>
        </c:ser>
        <c:ser>
          <c:idx val="5"/>
          <c:order val="5"/>
          <c:tx>
            <c:v>United States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Adults (35-64) Female</c:v>
              </c:pt>
              <c:pt idx="1">
                <c:v>Adults (35-64) Male</c:v>
              </c:pt>
              <c:pt idx="2">
                <c:v>Young Adults (25-34) Female</c:v>
              </c:pt>
              <c:pt idx="3">
                <c:v>Young Adults (25-34) Male</c:v>
              </c:pt>
              <c:pt idx="4">
                <c:v>Youth (&lt;25) Female</c:v>
              </c:pt>
              <c:pt idx="5">
                <c:v>Youth (&lt;25) Male</c:v>
              </c:pt>
            </c:strLit>
          </c:cat>
          <c:val>
            <c:numLit>
              <c:formatCode>General</c:formatCode>
              <c:ptCount val="6"/>
              <c:pt idx="0">
                <c:v>32</c:v>
              </c:pt>
              <c:pt idx="1">
                <c:v>21</c:v>
              </c:pt>
              <c:pt idx="2">
                <c:v>10</c:v>
              </c:pt>
              <c:pt idx="3">
                <c:v>6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6156-4FB2-8B7E-DD30EA307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6763775"/>
        <c:axId val="1996747935"/>
      </c:barChart>
      <c:catAx>
        <c:axId val="199676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47935"/>
        <c:crosses val="autoZero"/>
        <c:auto val="1"/>
        <c:lblAlgn val="ctr"/>
        <c:lblOffset val="100"/>
        <c:noMultiLvlLbl val="0"/>
      </c:catAx>
      <c:valAx>
        <c:axId val="19967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6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France</c:v>
              </c:pt>
              <c:pt idx="3">
                <c:v>Germany</c:v>
              </c:pt>
              <c:pt idx="4">
                <c:v>United Kingdom</c:v>
              </c:pt>
              <c:pt idx="5">
                <c:v>United States</c:v>
              </c:pt>
            </c:strLit>
          </c:cat>
          <c:val>
            <c:numLit>
              <c:formatCode>General</c:formatCode>
              <c:ptCount val="6"/>
              <c:pt idx="0">
                <c:v>63</c:v>
              </c:pt>
              <c:pt idx="1">
                <c:v>11</c:v>
              </c:pt>
              <c:pt idx="2">
                <c:v>20</c:v>
              </c:pt>
              <c:pt idx="3">
                <c:v>13</c:v>
              </c:pt>
              <c:pt idx="4">
                <c:v>14</c:v>
              </c:pt>
              <c:pt idx="5">
                <c:v>69</c:v>
              </c:pt>
            </c:numLit>
          </c:val>
          <c:extLst>
            <c:ext xmlns:c16="http://schemas.microsoft.com/office/drawing/2014/chart" uri="{C3380CC4-5D6E-409C-BE32-E72D297353CC}">
              <c16:uniqueId val="{00000000-C54E-44C4-9F74-8B619C48F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6957839"/>
        <c:axId val="636955439"/>
      </c:barChart>
      <c:catAx>
        <c:axId val="63695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55439"/>
        <c:crosses val="autoZero"/>
        <c:auto val="1"/>
        <c:lblAlgn val="ctr"/>
        <c:lblOffset val="100"/>
        <c:noMultiLvlLbl val="0"/>
      </c:catAx>
      <c:valAx>
        <c:axId val="63695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5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E5-4DF8-8A66-84C371DD89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E5-4DF8-8A66-84C371DD89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E5-4DF8-8A66-84C371DD89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Adults (35-64)</c:v>
              </c:pt>
              <c:pt idx="1">
                <c:v>Young Adults (25-34)</c:v>
              </c:pt>
              <c:pt idx="2">
                <c:v>Youth (&lt;25)</c:v>
              </c:pt>
            </c:strLit>
          </c:cat>
          <c:val>
            <c:numLit>
              <c:formatCode>General</c:formatCode>
              <c:ptCount val="3"/>
              <c:pt idx="0">
                <c:v>101</c:v>
              </c:pt>
              <c:pt idx="1">
                <c:v>61</c:v>
              </c:pt>
              <c:pt idx="2">
                <c:v>28</c:v>
              </c:pt>
            </c:numLit>
          </c:val>
          <c:extLst>
            <c:ext xmlns:c16="http://schemas.microsoft.com/office/drawing/2014/chart" uri="{C3380CC4-5D6E-409C-BE32-E72D297353CC}">
              <c16:uniqueId val="{00000006-88E5-4DF8-8A66-84C371DD8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847725</xdr:colOff>
      <xdr:row>16</xdr:row>
      <xdr:rowOff>123825</xdr:rowOff>
    </xdr:from>
    <xdr:to>
      <xdr:col>8</xdr:col>
      <xdr:colOff>364330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294B8-8E98-4A2A-BA22-F0F7DAE98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138112</xdr:colOff>
      <xdr:row>3</xdr:row>
      <xdr:rowOff>33338</xdr:rowOff>
    </xdr:from>
    <xdr:to>
      <xdr:col>12</xdr:col>
      <xdr:colOff>397669</xdr:colOff>
      <xdr:row>20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CF0EC-1D0F-447B-8082-2B095AFEA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13</xdr:col>
      <xdr:colOff>202407</xdr:colOff>
      <xdr:row>28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33C33-7A69-4CC7-B4FF-473B707D3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A1" refreshedDate="46148.64724791667" createdVersion="8" refreshedVersion="8" minRefreshableVersion="3" recordCount="88" xr:uid="{13B0E7E2-A9B7-412C-B454-1D1BBD48DC3F}">
  <cacheSource type="worksheet">
    <worksheetSource ref="A1:U89" sheet="Cleaned Dataset"/>
  </cacheSource>
  <cacheFields count="21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emale"/>
        <s v="Male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Color" numFmtId="0">
      <sharedItems/>
    </cacheField>
    <cacheField name="Size" numFmtId="0">
      <sharedItems containsSemiMixedTypes="0" containsString="0" containsNumber="1" containsInteger="1" minValue="38" maxValue="52"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5"/>
    <d v="2021-12-01T00:00:00"/>
    <n v="1"/>
    <s v="December"/>
    <n v="2021"/>
    <n v="39"/>
    <x v="0"/>
    <x v="0"/>
    <x v="0"/>
    <s v="California"/>
    <s v="Bikes"/>
    <s v="Mountain Bikes"/>
    <s v="Mountain-200"/>
    <s v="Black"/>
    <n v="46"/>
    <n v="4"/>
    <n v="1252"/>
    <n v="2295"/>
    <n v="4172"/>
    <n v="5008"/>
    <n v="9180"/>
  </r>
  <r>
    <s v="000261696"/>
    <d v="2021-12-01T00:00:00"/>
    <n v="1"/>
    <s v="December"/>
    <n v="2021"/>
    <n v="44"/>
    <x v="0"/>
    <x v="1"/>
    <x v="1"/>
    <s v="England"/>
    <s v="Bikes"/>
    <s v="Mountain Bikes"/>
    <s v="Mountain-200"/>
    <s v="Silver"/>
    <n v="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"/>
    <s v="Silver"/>
    <n v="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"/>
    <s v="Silver"/>
    <n v="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"/>
    <s v="Black"/>
    <n v="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"/>
    <s v="Black"/>
    <n v="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"/>
    <s v="Silver"/>
    <n v="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"/>
    <s v="Black"/>
    <n v="46"/>
    <n v="4"/>
    <n v="1252"/>
    <n v="2295"/>
    <n v="4172"/>
    <n v="5008"/>
    <n v="9180"/>
  </r>
  <r>
    <s v="000261704"/>
    <d v="2021-12-05T00:00:00"/>
    <n v="5"/>
    <s v="December"/>
    <n v="2021"/>
    <n v="42"/>
    <x v="0"/>
    <x v="1"/>
    <x v="3"/>
    <s v="Nordrhein-Westfalen"/>
    <s v="Bikes"/>
    <s v="Mountain Bikes"/>
    <s v="Mountain-200"/>
    <s v="Black"/>
    <n v="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"/>
    <s v="Silver"/>
    <n v="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"/>
    <s v="Black"/>
    <n v="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"/>
    <s v="Silver"/>
    <n v="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"/>
    <s v="Black"/>
    <n v="46"/>
    <n v="1"/>
    <n v="1252"/>
    <n v="2295"/>
    <n v="1043"/>
    <n v="1252"/>
    <n v="2295"/>
  </r>
  <r>
    <s v="000261709"/>
    <d v="2021-12-06T00:00:00"/>
    <n v="6"/>
    <s v="December"/>
    <n v="2021"/>
    <n v="36"/>
    <x v="2"/>
    <x v="1"/>
    <x v="2"/>
    <s v="New South Wales"/>
    <s v="Bikes"/>
    <s v="Mountain Bikes"/>
    <s v="Mountain-200"/>
    <s v="Black"/>
    <n v="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"/>
    <s v="Silver"/>
    <n v="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"/>
    <s v="Silver"/>
    <n v="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"/>
    <s v="Silver"/>
    <n v="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"/>
    <s v="Silver"/>
    <n v="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"/>
    <s v="Silver"/>
    <n v="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200"/>
    <s v="Black"/>
    <n v="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"/>
    <s v="Black"/>
    <n v="42"/>
    <n v="4"/>
    <n v="295"/>
    <n v="540"/>
    <n v="245"/>
    <n v="1180"/>
    <n v="216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"/>
    <s v="Black"/>
    <n v="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"/>
    <s v="Silver"/>
    <n v="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"/>
    <s v="Black"/>
    <n v="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"/>
    <s v="Black"/>
    <n v="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"/>
    <s v="Black"/>
    <n v="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"/>
    <s v="Silver"/>
    <n v="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"/>
    <s v="Black"/>
    <n v="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"/>
    <s v="Black"/>
    <n v="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"/>
    <s v="Silver"/>
    <n v="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"/>
    <s v="Black"/>
    <n v="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"/>
    <s v="Silver"/>
    <n v="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"/>
    <s v="Silver"/>
    <n v="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"/>
    <s v="Silver"/>
    <n v="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"/>
    <s v="Silver"/>
    <n v="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"/>
    <s v="Black"/>
    <n v="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"/>
    <s v="Silver"/>
    <n v="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"/>
    <s v="Silver"/>
    <n v="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"/>
    <s v="Silver"/>
    <n v="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"/>
    <s v="Silver"/>
    <n v="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"/>
    <s v="Silver"/>
    <n v="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"/>
    <s v="Black"/>
    <n v="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"/>
    <s v="Silver"/>
    <n v="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"/>
    <s v="Silver"/>
    <n v="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"/>
    <s v="Black"/>
    <n v="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"/>
    <s v="Black"/>
    <n v="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"/>
    <s v="Silver"/>
    <n v="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"/>
    <s v="Silver"/>
    <n v="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"/>
    <s v="Silver"/>
    <n v="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"/>
    <s v="Silver"/>
    <n v="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"/>
    <s v="Silver"/>
    <n v="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"/>
    <s v="Silver"/>
    <n v="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"/>
    <s v="Silver"/>
    <n v="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"/>
    <s v="Silver"/>
    <n v="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"/>
    <s v="Black"/>
    <n v="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"/>
    <s v="Black"/>
    <n v="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"/>
    <s v="Silver"/>
    <n v="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"/>
    <s v="Silver"/>
    <n v="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"/>
    <s v="Black"/>
    <n v="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"/>
    <s v="Black"/>
    <n v="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"/>
    <s v="Black"/>
    <n v="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"/>
    <s v="Black"/>
    <n v="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"/>
    <s v="Black"/>
    <n v="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"/>
    <s v="Black"/>
    <n v="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"/>
    <s v="Black"/>
    <n v="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"/>
    <s v="Black"/>
    <n v="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"/>
    <s v="Silver"/>
    <n v="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"/>
    <s v="Black"/>
    <n v="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"/>
    <s v="Black"/>
    <n v="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"/>
    <s v="Black"/>
    <n v="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"/>
    <s v="Silver"/>
    <n v="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"/>
    <s v="Silver"/>
    <n v="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"/>
    <s v="Silver"/>
    <n v="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"/>
    <s v="Silver"/>
    <n v="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"/>
    <s v="Silver"/>
    <n v="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"/>
    <s v="Black"/>
    <n v="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"/>
    <s v="Silver"/>
    <n v="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"/>
    <s v="Black"/>
    <n v="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"/>
    <s v="Black"/>
    <n v="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"/>
    <s v="Silver"/>
    <n v="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"/>
    <s v="Silver"/>
    <n v="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"/>
    <s v="Black"/>
    <n v="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"/>
    <s v="Black"/>
    <n v="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"/>
    <s v="Black"/>
    <n v="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B895E-BE49-439C-94AB-04C4F2B937D3}" name="PivotTable10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>
  <location ref="A1:H12" firstHeaderRow="1" firstDataRow="2" firstDataCol="1"/>
  <pivotFields count="21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5" baseField="0" baseItem="0"/>
  </dataFields>
  <formats count="9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6" type="button" dataOnly="0" labelOnly="1" outline="0" axis="axisRow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6" count="1" selected="0">
            <x v="0"/>
          </reference>
          <reference field="8" count="4">
            <x v="0"/>
            <x v="3"/>
            <x v="4"/>
            <x v="5"/>
          </reference>
        </references>
      </pivotArea>
    </format>
    <format dxfId="13">
      <pivotArea dataOnly="0" labelOnly="1" fieldPosition="0">
        <references count="2">
          <reference field="6" count="1" selected="0">
            <x v="1"/>
          </reference>
          <reference field="8" count="5">
            <x v="0"/>
            <x v="1"/>
            <x v="2"/>
            <x v="4"/>
            <x v="5"/>
          </reference>
        </references>
      </pivotArea>
    </format>
    <format dxfId="12">
      <pivotArea dataOnly="0" labelOnly="1" fieldPosition="0">
        <references count="2">
          <reference field="6" count="1" selected="0">
            <x v="2"/>
          </reference>
          <reference field="8" count="3">
            <x v="0"/>
            <x v="2"/>
            <x v="4"/>
          </reference>
        </references>
      </pivotArea>
    </format>
    <format dxfId="11">
      <pivotArea dataOnly="0" labelOnly="1" outline="0" axis="axisValues" fieldPosition="0"/>
    </format>
  </format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51595-8177-4939-AF6F-94AF574E28A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_Quantity" fld="15" baseField="0" baseItem="0"/>
  </dataFields>
  <formats count="5">
    <format dxfId="10">
      <pivotArea type="all" dataOnly="0" outline="0" fieldPosition="0"/>
    </format>
    <format dxfId="9">
      <pivotArea outline="0" collapsedLevelsAreSubtotals="1" fieldPosition="0"/>
    </format>
    <format dxfId="8">
      <pivotArea field="7" type="button" dataOnly="0" labelOnly="1" outline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4A97A-3A28-4C0C-AE61-0706353D01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_Quantity" fld="1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68E1-13D9-44D0-BD1A-6810EB148899}">
  <dimension ref="A1:U89"/>
  <sheetViews>
    <sheetView zoomScale="95" workbookViewId="0">
      <selection activeCell="A5" sqref="A5"/>
    </sheetView>
  </sheetViews>
  <sheetFormatPr defaultRowHeight="14.25" x14ac:dyDescent="0.45"/>
  <cols>
    <col min="2" max="2" width="29.46484375" customWidth="1"/>
    <col min="7" max="7" width="28.6640625" customWidth="1"/>
    <col min="8" max="8" width="21.1328125" customWidth="1"/>
    <col min="9" max="9" width="29.86328125" customWidth="1"/>
    <col min="12" max="12" width="35.46484375" customWidth="1"/>
    <col min="13" max="15" width="23.33203125" customWidth="1"/>
    <col min="16" max="16" width="28.33203125" customWidth="1"/>
    <col min="17" max="17" width="23.1328125" customWidth="1"/>
    <col min="18" max="18" width="27.9296875" customWidth="1"/>
    <col min="19" max="19" width="24.86328125" customWidth="1"/>
    <col min="20" max="20" width="25.59765625" customWidth="1"/>
    <col min="21" max="21" width="27" customWidth="1"/>
  </cols>
  <sheetData>
    <row r="1" spans="1:2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 t="s">
        <v>143</v>
      </c>
      <c r="O1" s="6" t="s">
        <v>136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4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144</v>
      </c>
      <c r="I2" t="s">
        <v>22</v>
      </c>
      <c r="J2" t="s">
        <v>23</v>
      </c>
      <c r="K2" t="s">
        <v>24</v>
      </c>
      <c r="L2" t="s">
        <v>25</v>
      </c>
      <c r="M2" s="5" t="s">
        <v>137</v>
      </c>
      <c r="N2" s="5" t="s">
        <v>138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45">
      <c r="A3" s="3" t="s">
        <v>135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145</v>
      </c>
      <c r="I3" t="s">
        <v>26</v>
      </c>
      <c r="J3" t="s">
        <v>27</v>
      </c>
      <c r="K3" t="s">
        <v>24</v>
      </c>
      <c r="L3" t="s">
        <v>25</v>
      </c>
      <c r="M3" s="5" t="s">
        <v>137</v>
      </c>
      <c r="N3" s="5" t="s">
        <v>139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6" si="0">P3*Q3</f>
        <v>1266</v>
      </c>
      <c r="U3" s="2">
        <f t="shared" ref="U3:U66" si="1">P3*R3</f>
        <v>2320</v>
      </c>
    </row>
    <row r="4" spans="1:21" x14ac:dyDescent="0.45">
      <c r="A4" s="3" t="s">
        <v>28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145</v>
      </c>
      <c r="I4" t="s">
        <v>22</v>
      </c>
      <c r="J4" t="s">
        <v>23</v>
      </c>
      <c r="K4" t="s">
        <v>24</v>
      </c>
      <c r="L4" t="s">
        <v>25</v>
      </c>
      <c r="M4" s="5" t="s">
        <v>140</v>
      </c>
      <c r="N4" s="5" t="s">
        <v>139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45">
      <c r="A5" s="3" t="s">
        <v>29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30</v>
      </c>
      <c r="H5" t="s">
        <v>144</v>
      </c>
      <c r="I5" t="s">
        <v>31</v>
      </c>
      <c r="J5" t="s">
        <v>32</v>
      </c>
      <c r="K5" t="s">
        <v>24</v>
      </c>
      <c r="L5" t="s">
        <v>25</v>
      </c>
      <c r="M5" s="5" t="s">
        <v>140</v>
      </c>
      <c r="N5" s="5" t="s">
        <v>139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45">
      <c r="A6" s="3" t="s">
        <v>33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144</v>
      </c>
      <c r="I6" t="s">
        <v>22</v>
      </c>
      <c r="J6" t="s">
        <v>23</v>
      </c>
      <c r="K6" t="s">
        <v>24</v>
      </c>
      <c r="L6" t="s">
        <v>25</v>
      </c>
      <c r="M6" s="5" t="s">
        <v>137</v>
      </c>
      <c r="N6" s="5" t="s">
        <v>138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45">
      <c r="A7" s="3" t="s">
        <v>34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35</v>
      </c>
      <c r="H7" t="s">
        <v>144</v>
      </c>
      <c r="I7" t="s">
        <v>26</v>
      </c>
      <c r="J7" t="s">
        <v>27</v>
      </c>
      <c r="K7" t="s">
        <v>24</v>
      </c>
      <c r="L7" t="s">
        <v>25</v>
      </c>
      <c r="M7" s="5" t="s">
        <v>137</v>
      </c>
      <c r="N7" s="5" t="s">
        <v>138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45">
      <c r="A8" s="3" t="s">
        <v>36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145</v>
      </c>
      <c r="I8" t="s">
        <v>22</v>
      </c>
      <c r="J8" t="s">
        <v>37</v>
      </c>
      <c r="K8" t="s">
        <v>24</v>
      </c>
      <c r="L8" t="s">
        <v>25</v>
      </c>
      <c r="M8" s="5" t="s">
        <v>137</v>
      </c>
      <c r="N8" s="5" t="s">
        <v>138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45">
      <c r="A9" s="3" t="s">
        <v>38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30</v>
      </c>
      <c r="H9" t="s">
        <v>144</v>
      </c>
      <c r="I9" t="s">
        <v>31</v>
      </c>
      <c r="J9" t="s">
        <v>32</v>
      </c>
      <c r="K9" t="s">
        <v>24</v>
      </c>
      <c r="L9" t="s">
        <v>25</v>
      </c>
      <c r="M9" s="5" t="s">
        <v>140</v>
      </c>
      <c r="N9" s="5" t="s">
        <v>139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 t="shared" si="0"/>
        <v>1680</v>
      </c>
      <c r="U9" s="2">
        <f t="shared" si="1"/>
        <v>3076</v>
      </c>
    </row>
    <row r="10" spans="1:21" x14ac:dyDescent="0.45">
      <c r="A10" s="3" t="s">
        <v>39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144</v>
      </c>
      <c r="I10" t="s">
        <v>22</v>
      </c>
      <c r="J10" t="s">
        <v>23</v>
      </c>
      <c r="K10" t="s">
        <v>24</v>
      </c>
      <c r="L10" t="s">
        <v>25</v>
      </c>
      <c r="M10" s="5" t="s">
        <v>137</v>
      </c>
      <c r="N10" s="5" t="s">
        <v>138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45">
      <c r="A11" s="3" t="s">
        <v>40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145</v>
      </c>
      <c r="I11" t="s">
        <v>41</v>
      </c>
      <c r="J11" t="s">
        <v>42</v>
      </c>
      <c r="K11" t="s">
        <v>24</v>
      </c>
      <c r="L11" t="s">
        <v>25</v>
      </c>
      <c r="M11" s="5" t="s">
        <v>137</v>
      </c>
      <c r="N11" s="5" t="s">
        <v>138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45">
      <c r="A12" s="3" t="s">
        <v>43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144</v>
      </c>
      <c r="I12" t="s">
        <v>31</v>
      </c>
      <c r="J12" t="s">
        <v>44</v>
      </c>
      <c r="K12" t="s">
        <v>24</v>
      </c>
      <c r="L12" t="s">
        <v>25</v>
      </c>
      <c r="M12" s="5" t="s">
        <v>137</v>
      </c>
      <c r="N12" s="5" t="s">
        <v>139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45">
      <c r="A13" s="3" t="s">
        <v>45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144</v>
      </c>
      <c r="I13" t="s">
        <v>22</v>
      </c>
      <c r="J13" t="s">
        <v>23</v>
      </c>
      <c r="K13" t="s">
        <v>24</v>
      </c>
      <c r="L13" t="s">
        <v>25</v>
      </c>
      <c r="M13" s="5" t="s">
        <v>137</v>
      </c>
      <c r="N13" s="5" t="s">
        <v>138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45">
      <c r="A14" s="3" t="s">
        <v>46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35</v>
      </c>
      <c r="H14" t="s">
        <v>145</v>
      </c>
      <c r="I14" t="s">
        <v>26</v>
      </c>
      <c r="J14" t="s">
        <v>27</v>
      </c>
      <c r="K14" t="s">
        <v>24</v>
      </c>
      <c r="L14" t="s">
        <v>25</v>
      </c>
      <c r="M14" s="5" t="s">
        <v>140</v>
      </c>
      <c r="N14" s="5" t="s">
        <v>139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45">
      <c r="A15" s="3" t="s">
        <v>47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30</v>
      </c>
      <c r="H15" t="s">
        <v>145</v>
      </c>
      <c r="I15" t="s">
        <v>48</v>
      </c>
      <c r="J15" t="s">
        <v>49</v>
      </c>
      <c r="K15" t="s">
        <v>24</v>
      </c>
      <c r="L15" t="s">
        <v>25</v>
      </c>
      <c r="M15" s="5" t="s">
        <v>137</v>
      </c>
      <c r="N15" s="5" t="s">
        <v>138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45">
      <c r="A16" s="3" t="s">
        <v>50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35</v>
      </c>
      <c r="H16" t="s">
        <v>145</v>
      </c>
      <c r="I16" t="s">
        <v>31</v>
      </c>
      <c r="J16" t="s">
        <v>32</v>
      </c>
      <c r="K16" t="s">
        <v>24</v>
      </c>
      <c r="L16" t="s">
        <v>25</v>
      </c>
      <c r="M16" s="5" t="s">
        <v>137</v>
      </c>
      <c r="N16" s="5" t="s">
        <v>138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45">
      <c r="A17" s="3" t="s">
        <v>51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145</v>
      </c>
      <c r="I17" t="s">
        <v>26</v>
      </c>
      <c r="J17" t="s">
        <v>27</v>
      </c>
      <c r="K17" t="s">
        <v>24</v>
      </c>
      <c r="L17" t="s">
        <v>25</v>
      </c>
      <c r="M17" s="5" t="s">
        <v>137</v>
      </c>
      <c r="N17" s="5" t="s">
        <v>139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45">
      <c r="A18" s="3" t="s">
        <v>52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30</v>
      </c>
      <c r="H18" t="s">
        <v>145</v>
      </c>
      <c r="I18" t="s">
        <v>22</v>
      </c>
      <c r="J18" t="s">
        <v>23</v>
      </c>
      <c r="K18" t="s">
        <v>24</v>
      </c>
      <c r="L18" t="s">
        <v>25</v>
      </c>
      <c r="M18" s="5" t="s">
        <v>140</v>
      </c>
      <c r="N18" s="5" t="s">
        <v>139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45">
      <c r="A19" s="3" t="s">
        <v>53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145</v>
      </c>
      <c r="I19" t="s">
        <v>22</v>
      </c>
      <c r="J19" t="s">
        <v>23</v>
      </c>
      <c r="K19" t="s">
        <v>24</v>
      </c>
      <c r="L19" t="s">
        <v>25</v>
      </c>
      <c r="M19" s="5" t="s">
        <v>137</v>
      </c>
      <c r="N19" s="5" t="s">
        <v>139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45">
      <c r="A20" s="3" t="s">
        <v>54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35</v>
      </c>
      <c r="H20" t="s">
        <v>144</v>
      </c>
      <c r="I20" t="s">
        <v>31</v>
      </c>
      <c r="J20" t="s">
        <v>32</v>
      </c>
      <c r="K20" t="s">
        <v>24</v>
      </c>
      <c r="L20" t="s">
        <v>25</v>
      </c>
      <c r="M20" s="5" t="s">
        <v>141</v>
      </c>
      <c r="N20" s="5" t="s">
        <v>139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45">
      <c r="A21" s="3" t="s">
        <v>55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30</v>
      </c>
      <c r="H21" t="s">
        <v>144</v>
      </c>
      <c r="I21" t="s">
        <v>48</v>
      </c>
      <c r="J21" t="s">
        <v>49</v>
      </c>
      <c r="K21" t="s">
        <v>24</v>
      </c>
      <c r="L21" t="s">
        <v>25</v>
      </c>
      <c r="M21" s="5" t="s">
        <v>137</v>
      </c>
      <c r="N21" s="5" t="s">
        <v>139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45">
      <c r="A22" s="3" t="s">
        <v>56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144</v>
      </c>
      <c r="I22" t="s">
        <v>22</v>
      </c>
      <c r="J22" t="s">
        <v>57</v>
      </c>
      <c r="K22" t="s">
        <v>24</v>
      </c>
      <c r="L22" t="s">
        <v>25</v>
      </c>
      <c r="M22" s="5" t="s">
        <v>137</v>
      </c>
      <c r="N22" s="5" t="s">
        <v>138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45">
      <c r="A23" s="3" t="s">
        <v>58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144</v>
      </c>
      <c r="I23" t="s">
        <v>22</v>
      </c>
      <c r="J23" t="s">
        <v>23</v>
      </c>
      <c r="K23" t="s">
        <v>24</v>
      </c>
      <c r="L23" t="s">
        <v>25</v>
      </c>
      <c r="M23" s="5" t="s">
        <v>141</v>
      </c>
      <c r="N23" s="5" t="s">
        <v>138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45">
      <c r="A24" s="3" t="s">
        <v>59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30</v>
      </c>
      <c r="H24" t="s">
        <v>144</v>
      </c>
      <c r="I24" t="s">
        <v>31</v>
      </c>
      <c r="J24" t="s">
        <v>60</v>
      </c>
      <c r="K24" t="s">
        <v>24</v>
      </c>
      <c r="L24" t="s">
        <v>25</v>
      </c>
      <c r="M24" s="5" t="s">
        <v>142</v>
      </c>
      <c r="N24" s="5" t="s">
        <v>138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45">
      <c r="A25" s="3" t="s">
        <v>61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144</v>
      </c>
      <c r="I25" t="s">
        <v>41</v>
      </c>
      <c r="J25" t="s">
        <v>62</v>
      </c>
      <c r="K25" t="s">
        <v>24</v>
      </c>
      <c r="L25" t="s">
        <v>25</v>
      </c>
      <c r="M25" s="5" t="s">
        <v>137</v>
      </c>
      <c r="N25" s="5" t="s">
        <v>139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45">
      <c r="A26" s="3" t="s">
        <v>63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30</v>
      </c>
      <c r="H26" t="s">
        <v>144</v>
      </c>
      <c r="I26" t="s">
        <v>22</v>
      </c>
      <c r="J26" t="s">
        <v>23</v>
      </c>
      <c r="K26" t="s">
        <v>24</v>
      </c>
      <c r="L26" t="s">
        <v>25</v>
      </c>
      <c r="M26" s="5" t="s">
        <v>137</v>
      </c>
      <c r="N26" s="5" t="s">
        <v>138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45">
      <c r="A27" s="3" t="s">
        <v>64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145</v>
      </c>
      <c r="I27" t="s">
        <v>31</v>
      </c>
      <c r="J27" t="s">
        <v>32</v>
      </c>
      <c r="K27" t="s">
        <v>24</v>
      </c>
      <c r="L27" t="s">
        <v>25</v>
      </c>
      <c r="M27" s="5" t="s">
        <v>137</v>
      </c>
      <c r="N27" s="5" t="s">
        <v>138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45">
      <c r="A28" s="3" t="s">
        <v>65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30</v>
      </c>
      <c r="H28" t="s">
        <v>145</v>
      </c>
      <c r="I28" t="s">
        <v>26</v>
      </c>
      <c r="J28" t="s">
        <v>27</v>
      </c>
      <c r="K28" t="s">
        <v>24</v>
      </c>
      <c r="L28" t="s">
        <v>25</v>
      </c>
      <c r="M28" s="5" t="s">
        <v>137</v>
      </c>
      <c r="N28" s="5" t="s">
        <v>138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45">
      <c r="A29" s="3" t="s">
        <v>66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30</v>
      </c>
      <c r="H29" t="s">
        <v>145</v>
      </c>
      <c r="I29" t="s">
        <v>22</v>
      </c>
      <c r="J29" t="s">
        <v>23</v>
      </c>
      <c r="K29" t="s">
        <v>24</v>
      </c>
      <c r="L29" t="s">
        <v>25</v>
      </c>
      <c r="M29" s="5" t="s">
        <v>141</v>
      </c>
      <c r="N29" s="5" t="s">
        <v>138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45">
      <c r="A30" s="3" t="s">
        <v>67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30</v>
      </c>
      <c r="H30" t="s">
        <v>144</v>
      </c>
      <c r="I30" t="s">
        <v>22</v>
      </c>
      <c r="J30" t="s">
        <v>37</v>
      </c>
      <c r="K30" t="s">
        <v>24</v>
      </c>
      <c r="L30" t="s">
        <v>25</v>
      </c>
      <c r="M30" s="5" t="s">
        <v>142</v>
      </c>
      <c r="N30" s="5" t="s">
        <v>139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45">
      <c r="A31" s="3" t="s">
        <v>68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145</v>
      </c>
      <c r="I31" t="s">
        <v>31</v>
      </c>
      <c r="J31" t="s">
        <v>32</v>
      </c>
      <c r="K31" t="s">
        <v>24</v>
      </c>
      <c r="L31" t="s">
        <v>25</v>
      </c>
      <c r="M31" s="5" t="s">
        <v>137</v>
      </c>
      <c r="N31" s="5" t="s">
        <v>138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45">
      <c r="A32" s="3" t="s">
        <v>69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35</v>
      </c>
      <c r="H32" t="s">
        <v>144</v>
      </c>
      <c r="I32" t="s">
        <v>70</v>
      </c>
      <c r="J32" t="s">
        <v>71</v>
      </c>
      <c r="K32" t="s">
        <v>24</v>
      </c>
      <c r="L32" t="s">
        <v>25</v>
      </c>
      <c r="M32" s="5" t="s">
        <v>137</v>
      </c>
      <c r="N32" s="5" t="s">
        <v>138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45">
      <c r="A33" s="3" t="s">
        <v>72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144</v>
      </c>
      <c r="I33" t="s">
        <v>31</v>
      </c>
      <c r="J33" t="s">
        <v>32</v>
      </c>
      <c r="K33" t="s">
        <v>24</v>
      </c>
      <c r="L33" t="s">
        <v>25</v>
      </c>
      <c r="M33" s="5" t="s">
        <v>140</v>
      </c>
      <c r="N33" s="5" t="s">
        <v>139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45">
      <c r="A34" s="3" t="s">
        <v>73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30</v>
      </c>
      <c r="H34" t="s">
        <v>145</v>
      </c>
      <c r="I34" t="s">
        <v>48</v>
      </c>
      <c r="J34" t="s">
        <v>49</v>
      </c>
      <c r="K34" t="s">
        <v>24</v>
      </c>
      <c r="L34" t="s">
        <v>25</v>
      </c>
      <c r="M34" s="5" t="s">
        <v>137</v>
      </c>
      <c r="N34" s="5" t="s">
        <v>138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45">
      <c r="A35" s="3" t="s">
        <v>74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145</v>
      </c>
      <c r="I35" t="s">
        <v>22</v>
      </c>
      <c r="J35" t="s">
        <v>23</v>
      </c>
      <c r="K35" t="s">
        <v>24</v>
      </c>
      <c r="L35" t="s">
        <v>25</v>
      </c>
      <c r="M35" s="5" t="s">
        <v>140</v>
      </c>
      <c r="N35" s="5" t="s">
        <v>139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45">
      <c r="A36" s="3" t="s">
        <v>75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144</v>
      </c>
      <c r="I36" t="s">
        <v>22</v>
      </c>
      <c r="J36" t="s">
        <v>23</v>
      </c>
      <c r="K36" t="s">
        <v>24</v>
      </c>
      <c r="L36" t="s">
        <v>25</v>
      </c>
      <c r="M36" s="5" t="s">
        <v>137</v>
      </c>
      <c r="N36" s="5" t="s">
        <v>139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45">
      <c r="A37" s="3" t="s">
        <v>76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144</v>
      </c>
      <c r="I37" t="s">
        <v>31</v>
      </c>
      <c r="J37" t="s">
        <v>32</v>
      </c>
      <c r="K37" t="s">
        <v>24</v>
      </c>
      <c r="L37" t="s">
        <v>25</v>
      </c>
      <c r="M37" s="5" t="s">
        <v>137</v>
      </c>
      <c r="N37" s="5" t="s">
        <v>139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45">
      <c r="A38" s="3" t="s">
        <v>77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145</v>
      </c>
      <c r="I38" t="s">
        <v>22</v>
      </c>
      <c r="J38" t="s">
        <v>23</v>
      </c>
      <c r="K38" t="s">
        <v>24</v>
      </c>
      <c r="L38" t="s">
        <v>25</v>
      </c>
      <c r="M38" s="5" t="s">
        <v>140</v>
      </c>
      <c r="N38" s="5" t="s">
        <v>139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45">
      <c r="A39" s="3" t="s">
        <v>78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30</v>
      </c>
      <c r="H39" t="s">
        <v>145</v>
      </c>
      <c r="I39" t="s">
        <v>31</v>
      </c>
      <c r="J39" t="s">
        <v>32</v>
      </c>
      <c r="K39" t="s">
        <v>24</v>
      </c>
      <c r="L39" t="s">
        <v>25</v>
      </c>
      <c r="M39" s="5" t="s">
        <v>137</v>
      </c>
      <c r="N39" s="5" t="s">
        <v>138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45">
      <c r="A40" s="3" t="s">
        <v>79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144</v>
      </c>
      <c r="I40" t="s">
        <v>31</v>
      </c>
      <c r="J40" t="s">
        <v>60</v>
      </c>
      <c r="K40" t="s">
        <v>24</v>
      </c>
      <c r="L40" t="s">
        <v>25</v>
      </c>
      <c r="M40" s="5" t="s">
        <v>137</v>
      </c>
      <c r="N40" s="5" t="s">
        <v>139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45">
      <c r="A41" s="3" t="s">
        <v>80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144</v>
      </c>
      <c r="I41" t="s">
        <v>22</v>
      </c>
      <c r="J41" t="s">
        <v>37</v>
      </c>
      <c r="K41" t="s">
        <v>24</v>
      </c>
      <c r="L41" t="s">
        <v>25</v>
      </c>
      <c r="M41" s="5" t="s">
        <v>137</v>
      </c>
      <c r="N41" s="5" t="s">
        <v>139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45">
      <c r="A42" s="3" t="s">
        <v>81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30</v>
      </c>
      <c r="H42" t="s">
        <v>144</v>
      </c>
      <c r="I42" t="s">
        <v>31</v>
      </c>
      <c r="J42" t="s">
        <v>44</v>
      </c>
      <c r="K42" t="s">
        <v>24</v>
      </c>
      <c r="L42" t="s">
        <v>25</v>
      </c>
      <c r="M42" s="5" t="s">
        <v>137</v>
      </c>
      <c r="N42" s="5" t="s">
        <v>139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45">
      <c r="A43" s="3" t="s">
        <v>82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144</v>
      </c>
      <c r="I43" t="s">
        <v>22</v>
      </c>
      <c r="J43" t="s">
        <v>23</v>
      </c>
      <c r="K43" t="s">
        <v>24</v>
      </c>
      <c r="L43" t="s">
        <v>25</v>
      </c>
      <c r="M43" s="5" t="s">
        <v>141</v>
      </c>
      <c r="N43" s="5" t="s">
        <v>139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45">
      <c r="A44" s="3" t="s">
        <v>83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144</v>
      </c>
      <c r="I44" t="s">
        <v>26</v>
      </c>
      <c r="J44" t="s">
        <v>27</v>
      </c>
      <c r="K44" t="s">
        <v>24</v>
      </c>
      <c r="L44" t="s">
        <v>25</v>
      </c>
      <c r="M44" s="5" t="s">
        <v>137</v>
      </c>
      <c r="N44" s="5" t="s">
        <v>138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45">
      <c r="A45" s="3" t="s">
        <v>84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145</v>
      </c>
      <c r="I45" t="s">
        <v>26</v>
      </c>
      <c r="J45" t="s">
        <v>27</v>
      </c>
      <c r="K45" t="s">
        <v>24</v>
      </c>
      <c r="L45" t="s">
        <v>25</v>
      </c>
      <c r="M45" s="5" t="s">
        <v>137</v>
      </c>
      <c r="N45" s="5" t="s">
        <v>138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45">
      <c r="A46" s="3" t="s">
        <v>85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30</v>
      </c>
      <c r="H46" t="s">
        <v>144</v>
      </c>
      <c r="I46" t="s">
        <v>22</v>
      </c>
      <c r="J46" t="s">
        <v>37</v>
      </c>
      <c r="K46" t="s">
        <v>24</v>
      </c>
      <c r="L46" t="s">
        <v>25</v>
      </c>
      <c r="M46" s="5" t="s">
        <v>137</v>
      </c>
      <c r="N46" s="5" t="s">
        <v>139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45">
      <c r="A47" s="3" t="s">
        <v>86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30</v>
      </c>
      <c r="H47" t="s">
        <v>145</v>
      </c>
      <c r="I47" t="s">
        <v>22</v>
      </c>
      <c r="J47" t="s">
        <v>23</v>
      </c>
      <c r="K47" t="s">
        <v>24</v>
      </c>
      <c r="L47" t="s">
        <v>25</v>
      </c>
      <c r="M47" s="5" t="s">
        <v>137</v>
      </c>
      <c r="N47" s="5" t="s">
        <v>138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45">
      <c r="A48" s="3" t="s">
        <v>87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30</v>
      </c>
      <c r="H48" t="s">
        <v>144</v>
      </c>
      <c r="I48" t="s">
        <v>31</v>
      </c>
      <c r="J48" t="s">
        <v>60</v>
      </c>
      <c r="K48" t="s">
        <v>24</v>
      </c>
      <c r="L48" t="s">
        <v>25</v>
      </c>
      <c r="M48" s="5" t="s">
        <v>140</v>
      </c>
      <c r="N48" s="5" t="s">
        <v>139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45">
      <c r="A49" s="3" t="s">
        <v>88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30</v>
      </c>
      <c r="H49" t="s">
        <v>144</v>
      </c>
      <c r="I49" t="s">
        <v>22</v>
      </c>
      <c r="J49" t="s">
        <v>23</v>
      </c>
      <c r="K49" t="s">
        <v>24</v>
      </c>
      <c r="L49" t="s">
        <v>25</v>
      </c>
      <c r="M49" s="5" t="s">
        <v>137</v>
      </c>
      <c r="N49" s="5" t="s">
        <v>139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45">
      <c r="A50" s="3" t="s">
        <v>89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30</v>
      </c>
      <c r="H50" t="s">
        <v>144</v>
      </c>
      <c r="I50" t="s">
        <v>31</v>
      </c>
      <c r="J50" t="s">
        <v>32</v>
      </c>
      <c r="K50" t="s">
        <v>24</v>
      </c>
      <c r="L50" t="s">
        <v>25</v>
      </c>
      <c r="M50" s="5" t="s">
        <v>137</v>
      </c>
      <c r="N50" s="5" t="s">
        <v>138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45">
      <c r="A51" s="3" t="s">
        <v>90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145</v>
      </c>
      <c r="I51" t="s">
        <v>31</v>
      </c>
      <c r="J51" t="s">
        <v>32</v>
      </c>
      <c r="K51" t="s">
        <v>24</v>
      </c>
      <c r="L51" t="s">
        <v>25</v>
      </c>
      <c r="M51" s="5" t="s">
        <v>137</v>
      </c>
      <c r="N51" s="5" t="s">
        <v>138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45">
      <c r="A52" s="3" t="s">
        <v>91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30</v>
      </c>
      <c r="H52" t="s">
        <v>144</v>
      </c>
      <c r="I52" t="s">
        <v>70</v>
      </c>
      <c r="J52" t="s">
        <v>92</v>
      </c>
      <c r="K52" t="s">
        <v>24</v>
      </c>
      <c r="L52" t="s">
        <v>25</v>
      </c>
      <c r="M52" s="5" t="s">
        <v>137</v>
      </c>
      <c r="N52" s="5" t="s">
        <v>139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45">
      <c r="A53" s="3" t="s">
        <v>93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144</v>
      </c>
      <c r="I53" t="s">
        <v>22</v>
      </c>
      <c r="J53" t="s">
        <v>37</v>
      </c>
      <c r="K53" t="s">
        <v>24</v>
      </c>
      <c r="L53" t="s">
        <v>25</v>
      </c>
      <c r="M53" s="5" t="s">
        <v>137</v>
      </c>
      <c r="N53" s="5" t="s">
        <v>139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45">
      <c r="A54" s="3" t="s">
        <v>94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30</v>
      </c>
      <c r="H54" t="s">
        <v>145</v>
      </c>
      <c r="I54" t="s">
        <v>31</v>
      </c>
      <c r="J54" t="s">
        <v>32</v>
      </c>
      <c r="K54" t="s">
        <v>24</v>
      </c>
      <c r="L54" t="s">
        <v>25</v>
      </c>
      <c r="M54" s="5" t="s">
        <v>140</v>
      </c>
      <c r="N54" s="5" t="s">
        <v>139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45">
      <c r="A55" s="3" t="s">
        <v>95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144</v>
      </c>
      <c r="I55" t="s">
        <v>41</v>
      </c>
      <c r="J55" t="s">
        <v>42</v>
      </c>
      <c r="K55" t="s">
        <v>24</v>
      </c>
      <c r="L55" t="s">
        <v>25</v>
      </c>
      <c r="M55" s="5" t="s">
        <v>137</v>
      </c>
      <c r="N55" s="5" t="s">
        <v>139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45">
      <c r="A56" s="3" t="s">
        <v>96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144</v>
      </c>
      <c r="I56" t="s">
        <v>31</v>
      </c>
      <c r="J56" t="s">
        <v>32</v>
      </c>
      <c r="K56" t="s">
        <v>24</v>
      </c>
      <c r="L56" t="s">
        <v>25</v>
      </c>
      <c r="M56" s="5" t="s">
        <v>141</v>
      </c>
      <c r="N56" s="5" t="s">
        <v>139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45">
      <c r="A57" s="3" t="s">
        <v>97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144</v>
      </c>
      <c r="I57" t="s">
        <v>41</v>
      </c>
      <c r="J57" t="s">
        <v>42</v>
      </c>
      <c r="K57" t="s">
        <v>24</v>
      </c>
      <c r="L57" t="s">
        <v>25</v>
      </c>
      <c r="M57" s="5" t="s">
        <v>137</v>
      </c>
      <c r="N57" s="5" t="s">
        <v>139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45">
      <c r="A58" s="3" t="s">
        <v>98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35</v>
      </c>
      <c r="H58" t="s">
        <v>144</v>
      </c>
      <c r="I58" t="s">
        <v>70</v>
      </c>
      <c r="J58" t="s">
        <v>99</v>
      </c>
      <c r="K58" t="s">
        <v>24</v>
      </c>
      <c r="L58" t="s">
        <v>25</v>
      </c>
      <c r="M58" s="5" t="s">
        <v>137</v>
      </c>
      <c r="N58" s="5" t="s">
        <v>139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45">
      <c r="A59" s="3" t="s">
        <v>100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30</v>
      </c>
      <c r="H59" t="s">
        <v>144</v>
      </c>
      <c r="I59" t="s">
        <v>26</v>
      </c>
      <c r="J59" t="s">
        <v>27</v>
      </c>
      <c r="K59" t="s">
        <v>24</v>
      </c>
      <c r="L59" t="s">
        <v>25</v>
      </c>
      <c r="M59" s="5" t="s">
        <v>140</v>
      </c>
      <c r="N59" s="5" t="s">
        <v>139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45">
      <c r="A60" s="3" t="s">
        <v>101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145</v>
      </c>
      <c r="I60" t="s">
        <v>22</v>
      </c>
      <c r="J60" t="s">
        <v>23</v>
      </c>
      <c r="K60" t="s">
        <v>24</v>
      </c>
      <c r="L60" t="s">
        <v>25</v>
      </c>
      <c r="M60" s="5" t="s">
        <v>137</v>
      </c>
      <c r="N60" s="5" t="s">
        <v>138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45">
      <c r="A61" s="3" t="s">
        <v>102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30</v>
      </c>
      <c r="H61" t="s">
        <v>145</v>
      </c>
      <c r="I61" t="s">
        <v>70</v>
      </c>
      <c r="J61" t="s">
        <v>71</v>
      </c>
      <c r="K61" t="s">
        <v>24</v>
      </c>
      <c r="L61" t="s">
        <v>25</v>
      </c>
      <c r="M61" s="5" t="s">
        <v>137</v>
      </c>
      <c r="N61" s="5" t="s">
        <v>138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45">
      <c r="A62" s="3" t="s">
        <v>103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145</v>
      </c>
      <c r="I62" t="s">
        <v>22</v>
      </c>
      <c r="J62" t="s">
        <v>37</v>
      </c>
      <c r="K62" t="s">
        <v>24</v>
      </c>
      <c r="L62" t="s">
        <v>25</v>
      </c>
      <c r="M62" s="5" t="s">
        <v>137</v>
      </c>
      <c r="N62" s="5" t="s">
        <v>139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45">
      <c r="A63" s="3" t="s">
        <v>104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35</v>
      </c>
      <c r="H63" t="s">
        <v>145</v>
      </c>
      <c r="I63" t="s">
        <v>70</v>
      </c>
      <c r="J63" t="s">
        <v>105</v>
      </c>
      <c r="K63" t="s">
        <v>24</v>
      </c>
      <c r="L63" t="s">
        <v>25</v>
      </c>
      <c r="M63" s="5" t="s">
        <v>137</v>
      </c>
      <c r="N63" s="5" t="s">
        <v>139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45">
      <c r="A64" s="3" t="s">
        <v>106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35</v>
      </c>
      <c r="H64" t="s">
        <v>144</v>
      </c>
      <c r="I64" t="s">
        <v>31</v>
      </c>
      <c r="J64" t="s">
        <v>60</v>
      </c>
      <c r="K64" t="s">
        <v>24</v>
      </c>
      <c r="L64" t="s">
        <v>25</v>
      </c>
      <c r="M64" s="5" t="s">
        <v>141</v>
      </c>
      <c r="N64" s="5" t="s">
        <v>138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45">
      <c r="A65" s="3" t="s">
        <v>107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30</v>
      </c>
      <c r="H65" t="s">
        <v>145</v>
      </c>
      <c r="I65" t="s">
        <v>70</v>
      </c>
      <c r="J65" t="s">
        <v>71</v>
      </c>
      <c r="K65" t="s">
        <v>24</v>
      </c>
      <c r="L65" t="s">
        <v>25</v>
      </c>
      <c r="M65" s="5" t="s">
        <v>137</v>
      </c>
      <c r="N65" s="5" t="s">
        <v>138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45">
      <c r="A66" s="3" t="s">
        <v>108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144</v>
      </c>
      <c r="I66" t="s">
        <v>22</v>
      </c>
      <c r="J66" t="s">
        <v>57</v>
      </c>
      <c r="K66" t="s">
        <v>24</v>
      </c>
      <c r="L66" t="s">
        <v>25</v>
      </c>
      <c r="M66" s="5" t="s">
        <v>142</v>
      </c>
      <c r="N66" s="5" t="s">
        <v>138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si="0"/>
        <v>7592</v>
      </c>
      <c r="U66" s="2">
        <f t="shared" si="1"/>
        <v>13500</v>
      </c>
    </row>
    <row r="67" spans="1:21" x14ac:dyDescent="0.45">
      <c r="A67" s="3" t="s">
        <v>109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145</v>
      </c>
      <c r="I67" t="s">
        <v>22</v>
      </c>
      <c r="J67" t="s">
        <v>57</v>
      </c>
      <c r="K67" t="s">
        <v>24</v>
      </c>
      <c r="L67" t="s">
        <v>25</v>
      </c>
      <c r="M67" s="5" t="s">
        <v>137</v>
      </c>
      <c r="N67" s="5" t="s">
        <v>138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ref="T67:T89" si="2">P67*Q67</f>
        <v>5008</v>
      </c>
      <c r="U67" s="2">
        <f t="shared" ref="U67:U89" si="3">P67*R67</f>
        <v>9180</v>
      </c>
    </row>
    <row r="68" spans="1:21" x14ac:dyDescent="0.45">
      <c r="A68" s="3" t="s">
        <v>110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144</v>
      </c>
      <c r="I68" t="s">
        <v>22</v>
      </c>
      <c r="J68" t="s">
        <v>23</v>
      </c>
      <c r="K68" t="s">
        <v>24</v>
      </c>
      <c r="L68" t="s">
        <v>25</v>
      </c>
      <c r="M68" s="5" t="s">
        <v>137</v>
      </c>
      <c r="N68" s="5" t="s">
        <v>138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2"/>
        <v>5008</v>
      </c>
      <c r="U68" s="2">
        <f t="shared" si="3"/>
        <v>9180</v>
      </c>
    </row>
    <row r="69" spans="1:21" x14ac:dyDescent="0.45">
      <c r="A69" s="3" t="s">
        <v>111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144</v>
      </c>
      <c r="I69" t="s">
        <v>31</v>
      </c>
      <c r="J69" t="s">
        <v>44</v>
      </c>
      <c r="K69" t="s">
        <v>24</v>
      </c>
      <c r="L69" t="s">
        <v>25</v>
      </c>
      <c r="M69" s="5" t="s">
        <v>137</v>
      </c>
      <c r="N69" s="5" t="s">
        <v>138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2"/>
        <v>5008</v>
      </c>
      <c r="U69" s="2">
        <f t="shared" si="3"/>
        <v>9180</v>
      </c>
    </row>
    <row r="70" spans="1:21" x14ac:dyDescent="0.45">
      <c r="A70" s="3" t="s">
        <v>112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35</v>
      </c>
      <c r="H70" t="s">
        <v>145</v>
      </c>
      <c r="I70" t="s">
        <v>31</v>
      </c>
      <c r="J70" t="s">
        <v>113</v>
      </c>
      <c r="K70" t="s">
        <v>24</v>
      </c>
      <c r="L70" t="s">
        <v>25</v>
      </c>
      <c r="M70" s="5" t="s">
        <v>141</v>
      </c>
      <c r="N70" s="5" t="s">
        <v>138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2"/>
        <v>590</v>
      </c>
      <c r="U70" s="2">
        <f t="shared" si="3"/>
        <v>1080</v>
      </c>
    </row>
    <row r="71" spans="1:21" x14ac:dyDescent="0.45">
      <c r="A71" s="3" t="s">
        <v>114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144</v>
      </c>
      <c r="I71" t="s">
        <v>41</v>
      </c>
      <c r="J71" t="s">
        <v>115</v>
      </c>
      <c r="K71" t="s">
        <v>24</v>
      </c>
      <c r="L71" t="s">
        <v>25</v>
      </c>
      <c r="M71" s="5" t="s">
        <v>137</v>
      </c>
      <c r="N71" s="5" t="s">
        <v>138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2"/>
        <v>2504</v>
      </c>
      <c r="U71" s="2">
        <f t="shared" si="3"/>
        <v>4590</v>
      </c>
    </row>
    <row r="72" spans="1:21" x14ac:dyDescent="0.45">
      <c r="A72" s="3" t="s">
        <v>116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144</v>
      </c>
      <c r="I72" t="s">
        <v>22</v>
      </c>
      <c r="J72" t="s">
        <v>37</v>
      </c>
      <c r="K72" t="s">
        <v>24</v>
      </c>
      <c r="L72" t="s">
        <v>25</v>
      </c>
      <c r="M72" s="5" t="s">
        <v>137</v>
      </c>
      <c r="N72" s="5" t="s">
        <v>139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2"/>
        <v>1266</v>
      </c>
      <c r="U72" s="2">
        <f t="shared" si="3"/>
        <v>2320</v>
      </c>
    </row>
    <row r="73" spans="1:21" x14ac:dyDescent="0.45">
      <c r="A73" s="3" t="s">
        <v>117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30</v>
      </c>
      <c r="H73" t="s">
        <v>144</v>
      </c>
      <c r="I73" t="s">
        <v>31</v>
      </c>
      <c r="J73" t="s">
        <v>60</v>
      </c>
      <c r="K73" t="s">
        <v>24</v>
      </c>
      <c r="L73" t="s">
        <v>25</v>
      </c>
      <c r="M73" s="5" t="s">
        <v>142</v>
      </c>
      <c r="N73" s="5" t="s">
        <v>138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2"/>
        <v>7592</v>
      </c>
      <c r="U73" s="2">
        <f t="shared" si="3"/>
        <v>13500</v>
      </c>
    </row>
    <row r="74" spans="1:21" x14ac:dyDescent="0.45">
      <c r="A74" s="3" t="s">
        <v>118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145</v>
      </c>
      <c r="I74" t="s">
        <v>31</v>
      </c>
      <c r="J74" t="s">
        <v>44</v>
      </c>
      <c r="K74" t="s">
        <v>24</v>
      </c>
      <c r="L74" t="s">
        <v>25</v>
      </c>
      <c r="M74" s="5" t="s">
        <v>137</v>
      </c>
      <c r="N74" s="5" t="s">
        <v>138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2"/>
        <v>5008</v>
      </c>
      <c r="U74" s="2">
        <f t="shared" si="3"/>
        <v>9180</v>
      </c>
    </row>
    <row r="75" spans="1:21" x14ac:dyDescent="0.45">
      <c r="A75" s="3" t="s">
        <v>119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30</v>
      </c>
      <c r="H75" t="s">
        <v>145</v>
      </c>
      <c r="I75" t="s">
        <v>48</v>
      </c>
      <c r="J75" t="s">
        <v>49</v>
      </c>
      <c r="K75" t="s">
        <v>24</v>
      </c>
      <c r="L75" t="s">
        <v>25</v>
      </c>
      <c r="M75" s="5" t="s">
        <v>141</v>
      </c>
      <c r="N75" s="5" t="s">
        <v>138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2"/>
        <v>885</v>
      </c>
      <c r="U75" s="2">
        <f t="shared" si="3"/>
        <v>1620</v>
      </c>
    </row>
    <row r="76" spans="1:21" x14ac:dyDescent="0.45">
      <c r="A76" s="3" t="s">
        <v>120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144</v>
      </c>
      <c r="I76" t="s">
        <v>31</v>
      </c>
      <c r="J76" t="s">
        <v>44</v>
      </c>
      <c r="K76" t="s">
        <v>24</v>
      </c>
      <c r="L76" t="s">
        <v>25</v>
      </c>
      <c r="M76" s="5" t="s">
        <v>137</v>
      </c>
      <c r="N76" s="5" t="s">
        <v>139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2"/>
        <v>1266</v>
      </c>
      <c r="U76" s="2">
        <f t="shared" si="3"/>
        <v>2320</v>
      </c>
    </row>
    <row r="77" spans="1:21" x14ac:dyDescent="0.45">
      <c r="A77" s="3" t="s">
        <v>121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145</v>
      </c>
      <c r="I77" t="s">
        <v>31</v>
      </c>
      <c r="J77" t="s">
        <v>60</v>
      </c>
      <c r="K77" t="s">
        <v>24</v>
      </c>
      <c r="L77" t="s">
        <v>25</v>
      </c>
      <c r="M77" s="5" t="s">
        <v>137</v>
      </c>
      <c r="N77" s="5" t="s">
        <v>139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2"/>
        <v>1266</v>
      </c>
      <c r="U77" s="2">
        <f t="shared" si="3"/>
        <v>2320</v>
      </c>
    </row>
    <row r="78" spans="1:21" x14ac:dyDescent="0.45">
      <c r="A78" s="3" t="s">
        <v>122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30</v>
      </c>
      <c r="H78" t="s">
        <v>145</v>
      </c>
      <c r="I78" t="s">
        <v>70</v>
      </c>
      <c r="J78" t="s">
        <v>123</v>
      </c>
      <c r="K78" t="s">
        <v>24</v>
      </c>
      <c r="L78" t="s">
        <v>25</v>
      </c>
      <c r="M78" s="5" t="s">
        <v>137</v>
      </c>
      <c r="N78" s="5" t="s">
        <v>139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2"/>
        <v>3798</v>
      </c>
      <c r="U78" s="2">
        <f t="shared" si="3"/>
        <v>6960</v>
      </c>
    </row>
    <row r="79" spans="1:21" x14ac:dyDescent="0.45">
      <c r="A79" s="3" t="s">
        <v>124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35</v>
      </c>
      <c r="H79" t="s">
        <v>145</v>
      </c>
      <c r="I79" t="s">
        <v>26</v>
      </c>
      <c r="J79" t="s">
        <v>27</v>
      </c>
      <c r="K79" t="s">
        <v>24</v>
      </c>
      <c r="L79" t="s">
        <v>25</v>
      </c>
      <c r="M79" s="5" t="s">
        <v>140</v>
      </c>
      <c r="N79" s="5" t="s">
        <v>139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2"/>
        <v>840</v>
      </c>
      <c r="U79" s="2">
        <f t="shared" si="3"/>
        <v>1538</v>
      </c>
    </row>
    <row r="80" spans="1:21" x14ac:dyDescent="0.45">
      <c r="A80" s="3" t="s">
        <v>125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30</v>
      </c>
      <c r="H80" t="s">
        <v>144</v>
      </c>
      <c r="I80" t="s">
        <v>22</v>
      </c>
      <c r="J80" t="s">
        <v>37</v>
      </c>
      <c r="K80" t="s">
        <v>24</v>
      </c>
      <c r="L80" t="s">
        <v>25</v>
      </c>
      <c r="M80" s="5" t="s">
        <v>137</v>
      </c>
      <c r="N80" s="5" t="s">
        <v>139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2"/>
        <v>3798</v>
      </c>
      <c r="U80" s="2">
        <f t="shared" si="3"/>
        <v>6960</v>
      </c>
    </row>
    <row r="81" spans="1:21" x14ac:dyDescent="0.45">
      <c r="A81" s="3" t="s">
        <v>126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145</v>
      </c>
      <c r="I81" t="s">
        <v>22</v>
      </c>
      <c r="J81" t="s">
        <v>23</v>
      </c>
      <c r="K81" t="s">
        <v>24</v>
      </c>
      <c r="L81" t="s">
        <v>25</v>
      </c>
      <c r="M81" s="5" t="s">
        <v>137</v>
      </c>
      <c r="N81" s="5" t="s">
        <v>138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2"/>
        <v>3756</v>
      </c>
      <c r="U81" s="2">
        <f t="shared" si="3"/>
        <v>6885</v>
      </c>
    </row>
    <row r="82" spans="1:21" x14ac:dyDescent="0.45">
      <c r="A82" s="3" t="s">
        <v>127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35</v>
      </c>
      <c r="H82" t="s">
        <v>144</v>
      </c>
      <c r="I82" t="s">
        <v>31</v>
      </c>
      <c r="J82" t="s">
        <v>32</v>
      </c>
      <c r="K82" t="s">
        <v>24</v>
      </c>
      <c r="L82" t="s">
        <v>25</v>
      </c>
      <c r="M82" s="5" t="s">
        <v>141</v>
      </c>
      <c r="N82" s="5" t="s">
        <v>139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2"/>
        <v>308</v>
      </c>
      <c r="U82" s="2">
        <f t="shared" si="3"/>
        <v>565</v>
      </c>
    </row>
    <row r="83" spans="1:21" x14ac:dyDescent="0.45">
      <c r="A83" s="3" t="s">
        <v>128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30</v>
      </c>
      <c r="H83" t="s">
        <v>145</v>
      </c>
      <c r="I83" t="s">
        <v>70</v>
      </c>
      <c r="J83" t="s">
        <v>71</v>
      </c>
      <c r="K83" t="s">
        <v>24</v>
      </c>
      <c r="L83" t="s">
        <v>25</v>
      </c>
      <c r="M83" s="5" t="s">
        <v>137</v>
      </c>
      <c r="N83" s="5" t="s">
        <v>138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2"/>
        <v>1252</v>
      </c>
      <c r="U83" s="2">
        <f t="shared" si="3"/>
        <v>2295</v>
      </c>
    </row>
    <row r="84" spans="1:21" x14ac:dyDescent="0.45">
      <c r="A84" s="3" t="s">
        <v>129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30</v>
      </c>
      <c r="H84" t="s">
        <v>144</v>
      </c>
      <c r="I84" t="s">
        <v>48</v>
      </c>
      <c r="J84" t="s">
        <v>49</v>
      </c>
      <c r="K84" t="s">
        <v>24</v>
      </c>
      <c r="L84" t="s">
        <v>25</v>
      </c>
      <c r="M84" s="5" t="s">
        <v>137</v>
      </c>
      <c r="N84" s="5" t="s">
        <v>138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2"/>
        <v>1252</v>
      </c>
      <c r="U84" s="2">
        <f t="shared" si="3"/>
        <v>2295</v>
      </c>
    </row>
    <row r="85" spans="1:21" x14ac:dyDescent="0.45">
      <c r="A85" s="3" t="s">
        <v>130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145</v>
      </c>
      <c r="I85" t="s">
        <v>41</v>
      </c>
      <c r="J85" t="s">
        <v>115</v>
      </c>
      <c r="K85" t="s">
        <v>24</v>
      </c>
      <c r="L85" t="s">
        <v>25</v>
      </c>
      <c r="M85" s="5" t="s">
        <v>137</v>
      </c>
      <c r="N85" s="5" t="s">
        <v>139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2"/>
        <v>1266</v>
      </c>
      <c r="U85" s="2">
        <f t="shared" si="3"/>
        <v>2320</v>
      </c>
    </row>
    <row r="86" spans="1:21" x14ac:dyDescent="0.45">
      <c r="A86" s="3" t="s">
        <v>131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30</v>
      </c>
      <c r="H86" t="s">
        <v>144</v>
      </c>
      <c r="I86" t="s">
        <v>22</v>
      </c>
      <c r="J86" t="s">
        <v>57</v>
      </c>
      <c r="K86" t="s">
        <v>24</v>
      </c>
      <c r="L86" t="s">
        <v>25</v>
      </c>
      <c r="M86" s="5" t="s">
        <v>137</v>
      </c>
      <c r="N86" s="5" t="s">
        <v>139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2"/>
        <v>1266</v>
      </c>
      <c r="U86" s="2">
        <f t="shared" si="3"/>
        <v>2320</v>
      </c>
    </row>
    <row r="87" spans="1:21" x14ac:dyDescent="0.45">
      <c r="A87" s="3" t="s">
        <v>132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30</v>
      </c>
      <c r="H87" t="s">
        <v>144</v>
      </c>
      <c r="I87" t="s">
        <v>48</v>
      </c>
      <c r="J87" t="s">
        <v>49</v>
      </c>
      <c r="K87" t="s">
        <v>24</v>
      </c>
      <c r="L87" t="s">
        <v>25</v>
      </c>
      <c r="M87" s="5" t="s">
        <v>137</v>
      </c>
      <c r="N87" s="5" t="s">
        <v>138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2"/>
        <v>1252</v>
      </c>
      <c r="U87" s="2">
        <f t="shared" si="3"/>
        <v>2295</v>
      </c>
    </row>
    <row r="88" spans="1:21" x14ac:dyDescent="0.45">
      <c r="A88" s="3" t="s">
        <v>133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144</v>
      </c>
      <c r="I88" t="s">
        <v>22</v>
      </c>
      <c r="J88" t="s">
        <v>23</v>
      </c>
      <c r="K88" t="s">
        <v>24</v>
      </c>
      <c r="L88" t="s">
        <v>25</v>
      </c>
      <c r="M88" s="5" t="s">
        <v>141</v>
      </c>
      <c r="N88" s="5" t="s">
        <v>138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2"/>
        <v>295</v>
      </c>
      <c r="U88" s="2">
        <f t="shared" si="3"/>
        <v>540</v>
      </c>
    </row>
    <row r="89" spans="1:21" x14ac:dyDescent="0.45">
      <c r="A89" s="3" t="s">
        <v>134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145</v>
      </c>
      <c r="I89" t="s">
        <v>31</v>
      </c>
      <c r="J89" t="s">
        <v>44</v>
      </c>
      <c r="K89" t="s">
        <v>24</v>
      </c>
      <c r="L89" t="s">
        <v>25</v>
      </c>
      <c r="M89" s="5" t="s">
        <v>137</v>
      </c>
      <c r="N89" s="5" t="s">
        <v>138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2"/>
        <v>5008</v>
      </c>
      <c r="U89" s="2">
        <f t="shared" si="3"/>
        <v>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166D-BEF1-4ADF-B9EB-E2096A941C6F}">
  <dimension ref="A1:H43"/>
  <sheetViews>
    <sheetView workbookViewId="0">
      <selection activeCell="L21" sqref="L21"/>
    </sheetView>
  </sheetViews>
  <sheetFormatPr defaultRowHeight="14.25" x14ac:dyDescent="0.45"/>
  <cols>
    <col min="1" max="1" width="19.86328125" style="8" bestFit="1" customWidth="1"/>
    <col min="2" max="2" width="16.9296875" style="8" bestFit="1" customWidth="1"/>
    <col min="3" max="3" width="5.86328125" style="8" customWidth="1"/>
    <col min="4" max="4" width="10.19921875" style="8" bestFit="1" customWidth="1"/>
    <col min="5" max="5" width="16.265625" style="8" customWidth="1"/>
    <col min="6" max="6" width="20.19921875" style="8" customWidth="1"/>
    <col min="7" max="7" width="18.73046875" style="8" customWidth="1"/>
    <col min="8" max="8" width="14.59765625" style="8" customWidth="1"/>
    <col min="9" max="16384" width="9.06640625" style="8"/>
  </cols>
  <sheetData>
    <row r="1" spans="1:8" x14ac:dyDescent="0.45">
      <c r="A1" s="9" t="s">
        <v>149</v>
      </c>
      <c r="B1" s="9" t="s">
        <v>148</v>
      </c>
    </row>
    <row r="2" spans="1:8" x14ac:dyDescent="0.45">
      <c r="A2" s="9" t="s">
        <v>146</v>
      </c>
      <c r="B2" s="8" t="s">
        <v>31</v>
      </c>
      <c r="C2" s="8" t="s">
        <v>48</v>
      </c>
      <c r="D2" s="8" t="s">
        <v>70</v>
      </c>
      <c r="E2" s="8" t="s">
        <v>41</v>
      </c>
      <c r="F2" s="8" t="s">
        <v>26</v>
      </c>
      <c r="G2" s="8" t="s">
        <v>22</v>
      </c>
      <c r="H2" s="8" t="s">
        <v>147</v>
      </c>
    </row>
    <row r="3" spans="1:8" x14ac:dyDescent="0.45">
      <c r="A3" s="8" t="s">
        <v>21</v>
      </c>
      <c r="B3" s="8">
        <v>31</v>
      </c>
      <c r="C3" s="8">
        <v>0</v>
      </c>
      <c r="D3" s="8">
        <v>0</v>
      </c>
      <c r="E3" s="8">
        <v>13</v>
      </c>
      <c r="F3" s="8">
        <v>4</v>
      </c>
      <c r="G3" s="8">
        <v>53</v>
      </c>
      <c r="H3" s="8">
        <v>101</v>
      </c>
    </row>
    <row r="4" spans="1:8" x14ac:dyDescent="0.45">
      <c r="A4" s="8" t="s">
        <v>144</v>
      </c>
      <c r="B4" s="8">
        <v>17</v>
      </c>
      <c r="C4" s="8">
        <v>0</v>
      </c>
      <c r="D4" s="8">
        <v>0</v>
      </c>
      <c r="E4" s="8">
        <v>8</v>
      </c>
      <c r="F4" s="8">
        <v>1</v>
      </c>
      <c r="G4" s="8">
        <v>32</v>
      </c>
      <c r="H4" s="8">
        <v>58</v>
      </c>
    </row>
    <row r="5" spans="1:8" x14ac:dyDescent="0.45">
      <c r="A5" s="8" t="s">
        <v>145</v>
      </c>
      <c r="B5" s="8">
        <v>14</v>
      </c>
      <c r="C5" s="8">
        <v>0</v>
      </c>
      <c r="D5" s="8">
        <v>0</v>
      </c>
      <c r="E5" s="8">
        <v>5</v>
      </c>
      <c r="F5" s="8">
        <v>3</v>
      </c>
      <c r="G5" s="8">
        <v>21</v>
      </c>
      <c r="H5" s="8">
        <v>43</v>
      </c>
    </row>
    <row r="6" spans="1:8" x14ac:dyDescent="0.45">
      <c r="A6" s="8" t="s">
        <v>30</v>
      </c>
      <c r="B6" s="8">
        <v>20</v>
      </c>
      <c r="C6" s="8">
        <v>11</v>
      </c>
      <c r="D6" s="8">
        <v>10</v>
      </c>
      <c r="E6" s="8">
        <v>0</v>
      </c>
      <c r="F6" s="8">
        <v>4</v>
      </c>
      <c r="G6" s="8">
        <v>16</v>
      </c>
      <c r="H6" s="8">
        <v>61</v>
      </c>
    </row>
    <row r="7" spans="1:8" x14ac:dyDescent="0.45">
      <c r="A7" s="8" t="s">
        <v>144</v>
      </c>
      <c r="B7" s="8">
        <v>17</v>
      </c>
      <c r="C7" s="8">
        <v>6</v>
      </c>
      <c r="D7" s="8">
        <v>1</v>
      </c>
      <c r="E7" s="8">
        <v>0</v>
      </c>
      <c r="F7" s="8">
        <v>3</v>
      </c>
      <c r="G7" s="8">
        <v>10</v>
      </c>
      <c r="H7" s="8">
        <v>37</v>
      </c>
    </row>
    <row r="8" spans="1:8" x14ac:dyDescent="0.45">
      <c r="A8" s="8" t="s">
        <v>145</v>
      </c>
      <c r="B8" s="8">
        <v>3</v>
      </c>
      <c r="C8" s="8">
        <v>5</v>
      </c>
      <c r="D8" s="8">
        <v>9</v>
      </c>
      <c r="E8" s="8">
        <v>0</v>
      </c>
      <c r="F8" s="8">
        <v>1</v>
      </c>
      <c r="G8" s="8">
        <v>6</v>
      </c>
      <c r="H8" s="8">
        <v>24</v>
      </c>
    </row>
    <row r="9" spans="1:8" x14ac:dyDescent="0.45">
      <c r="A9" s="8" t="s">
        <v>35</v>
      </c>
      <c r="B9" s="8">
        <v>12</v>
      </c>
      <c r="C9" s="8">
        <v>0</v>
      </c>
      <c r="D9" s="8">
        <v>10</v>
      </c>
      <c r="E9" s="8">
        <v>0</v>
      </c>
      <c r="F9" s="8">
        <v>6</v>
      </c>
      <c r="G9" s="8">
        <v>0</v>
      </c>
      <c r="H9" s="8">
        <v>28</v>
      </c>
    </row>
    <row r="10" spans="1:8" x14ac:dyDescent="0.45">
      <c r="A10" s="8" t="s">
        <v>144</v>
      </c>
      <c r="B10" s="8">
        <v>9</v>
      </c>
      <c r="C10" s="8">
        <v>0</v>
      </c>
      <c r="D10" s="8">
        <v>6</v>
      </c>
      <c r="E10" s="8">
        <v>0</v>
      </c>
      <c r="F10" s="8">
        <v>1</v>
      </c>
      <c r="G10" s="8">
        <v>0</v>
      </c>
      <c r="H10" s="8">
        <v>16</v>
      </c>
    </row>
    <row r="11" spans="1:8" x14ac:dyDescent="0.45">
      <c r="A11" s="8" t="s">
        <v>145</v>
      </c>
      <c r="B11" s="8">
        <v>3</v>
      </c>
      <c r="C11" s="8">
        <v>0</v>
      </c>
      <c r="D11" s="8">
        <v>4</v>
      </c>
      <c r="E11" s="8">
        <v>0</v>
      </c>
      <c r="F11" s="8">
        <v>5</v>
      </c>
      <c r="G11" s="8">
        <v>0</v>
      </c>
      <c r="H11" s="8">
        <v>12</v>
      </c>
    </row>
    <row r="12" spans="1:8" x14ac:dyDescent="0.45">
      <c r="A12" s="8" t="s">
        <v>147</v>
      </c>
      <c r="B12" s="8">
        <v>63</v>
      </c>
      <c r="C12" s="8">
        <v>11</v>
      </c>
      <c r="D12" s="8">
        <v>20</v>
      </c>
      <c r="E12" s="8">
        <v>13</v>
      </c>
      <c r="F12" s="8">
        <v>14</v>
      </c>
      <c r="G12" s="8">
        <v>69</v>
      </c>
      <c r="H12" s="8">
        <v>190</v>
      </c>
    </row>
    <row r="13" spans="1:8" x14ac:dyDescent="0.45">
      <c r="A13"/>
      <c r="B13"/>
      <c r="C13"/>
      <c r="D13"/>
    </row>
    <row r="14" spans="1:8" x14ac:dyDescent="0.45">
      <c r="A14"/>
      <c r="B14"/>
      <c r="C14"/>
      <c r="D14"/>
    </row>
    <row r="15" spans="1:8" x14ac:dyDescent="0.45">
      <c r="A15"/>
      <c r="B15"/>
      <c r="C15"/>
      <c r="D15"/>
    </row>
    <row r="16" spans="1:8" x14ac:dyDescent="0.45">
      <c r="A16"/>
      <c r="B16"/>
      <c r="C16"/>
      <c r="D16"/>
    </row>
    <row r="17" spans="1:4" x14ac:dyDescent="0.45">
      <c r="A17"/>
      <c r="B17"/>
      <c r="C17"/>
      <c r="D17"/>
    </row>
    <row r="18" spans="1:4" x14ac:dyDescent="0.45">
      <c r="A18"/>
      <c r="B18"/>
      <c r="C18"/>
      <c r="D18"/>
    </row>
    <row r="19" spans="1:4" x14ac:dyDescent="0.45">
      <c r="A19"/>
      <c r="B19"/>
      <c r="C19"/>
      <c r="D19"/>
    </row>
    <row r="20" spans="1:4" x14ac:dyDescent="0.45">
      <c r="A20"/>
      <c r="B20"/>
      <c r="C20"/>
      <c r="D20"/>
    </row>
    <row r="21" spans="1:4" x14ac:dyDescent="0.45">
      <c r="A21"/>
      <c r="B21"/>
    </row>
    <row r="22" spans="1:4" x14ac:dyDescent="0.45">
      <c r="A22"/>
      <c r="B22"/>
    </row>
    <row r="23" spans="1:4" x14ac:dyDescent="0.45">
      <c r="A23"/>
      <c r="B23"/>
    </row>
    <row r="24" spans="1:4" x14ac:dyDescent="0.45">
      <c r="A24"/>
      <c r="B24"/>
    </row>
    <row r="25" spans="1:4" x14ac:dyDescent="0.45">
      <c r="A25"/>
      <c r="B25"/>
    </row>
    <row r="26" spans="1:4" x14ac:dyDescent="0.45">
      <c r="A26"/>
      <c r="B26"/>
    </row>
    <row r="27" spans="1:4" x14ac:dyDescent="0.45">
      <c r="A27"/>
      <c r="B27"/>
    </row>
    <row r="28" spans="1:4" x14ac:dyDescent="0.45">
      <c r="A28"/>
      <c r="B28"/>
    </row>
    <row r="29" spans="1:4" x14ac:dyDescent="0.45">
      <c r="A29"/>
      <c r="B29"/>
    </row>
    <row r="30" spans="1:4" x14ac:dyDescent="0.45">
      <c r="A30"/>
      <c r="B30"/>
    </row>
    <row r="31" spans="1:4" x14ac:dyDescent="0.45">
      <c r="A31"/>
      <c r="B31"/>
    </row>
    <row r="32" spans="1:4" x14ac:dyDescent="0.45">
      <c r="A32"/>
      <c r="B32"/>
    </row>
    <row r="33" spans="1:2" x14ac:dyDescent="0.45">
      <c r="A33"/>
      <c r="B33"/>
    </row>
    <row r="34" spans="1:2" x14ac:dyDescent="0.45">
      <c r="A34"/>
      <c r="B34"/>
    </row>
    <row r="35" spans="1:2" x14ac:dyDescent="0.45">
      <c r="A35"/>
      <c r="B35"/>
    </row>
    <row r="36" spans="1:2" x14ac:dyDescent="0.45">
      <c r="A36"/>
      <c r="B36"/>
    </row>
    <row r="37" spans="1:2" x14ac:dyDescent="0.45">
      <c r="A37"/>
      <c r="B37"/>
    </row>
    <row r="38" spans="1:2" x14ac:dyDescent="0.45">
      <c r="A38"/>
      <c r="B38"/>
    </row>
    <row r="39" spans="1:2" x14ac:dyDescent="0.45">
      <c r="A39"/>
      <c r="B39"/>
    </row>
    <row r="40" spans="1:2" x14ac:dyDescent="0.45">
      <c r="A40"/>
      <c r="B40"/>
    </row>
    <row r="41" spans="1:2" x14ac:dyDescent="0.45">
      <c r="A41"/>
      <c r="B41"/>
    </row>
    <row r="42" spans="1:2" x14ac:dyDescent="0.45">
      <c r="A42"/>
      <c r="B42"/>
    </row>
    <row r="43" spans="1:2" x14ac:dyDescent="0.45">
      <c r="A43"/>
      <c r="B4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47FF-758E-4389-B7DE-42A9977BDDB7}">
  <dimension ref="A3:B18"/>
  <sheetViews>
    <sheetView workbookViewId="0">
      <selection activeCell="G5" sqref="G5"/>
    </sheetView>
  </sheetViews>
  <sheetFormatPr defaultRowHeight="14.25" x14ac:dyDescent="0.45"/>
  <cols>
    <col min="1" max="1" width="14.265625" style="8" bestFit="1" customWidth="1"/>
    <col min="2" max="2" width="19.86328125" style="8" bestFit="1" customWidth="1"/>
    <col min="3" max="3" width="6.6640625" style="8" bestFit="1" customWidth="1"/>
    <col min="4" max="4" width="6.06640625" style="8" bestFit="1" customWidth="1"/>
    <col min="5" max="5" width="8.1328125" style="8" bestFit="1" customWidth="1"/>
    <col min="6" max="6" width="14.06640625" style="8" bestFit="1" customWidth="1"/>
    <col min="7" max="7" width="11.73046875" style="8" bestFit="1" customWidth="1"/>
    <col min="8" max="8" width="10.19921875" style="8" bestFit="1" customWidth="1"/>
    <col min="9" max="16384" width="9.06640625" style="8"/>
  </cols>
  <sheetData>
    <row r="3" spans="1:2" x14ac:dyDescent="0.45">
      <c r="A3" s="9" t="s">
        <v>146</v>
      </c>
      <c r="B3" s="8" t="s">
        <v>149</v>
      </c>
    </row>
    <row r="4" spans="1:2" x14ac:dyDescent="0.45">
      <c r="A4" s="8" t="s">
        <v>31</v>
      </c>
      <c r="B4" s="8">
        <v>63</v>
      </c>
    </row>
    <row r="5" spans="1:2" x14ac:dyDescent="0.45">
      <c r="A5" s="8" t="s">
        <v>48</v>
      </c>
      <c r="B5" s="8">
        <v>11</v>
      </c>
    </row>
    <row r="6" spans="1:2" x14ac:dyDescent="0.45">
      <c r="A6" s="8" t="s">
        <v>70</v>
      </c>
      <c r="B6" s="8">
        <v>20</v>
      </c>
    </row>
    <row r="7" spans="1:2" x14ac:dyDescent="0.45">
      <c r="A7" s="8" t="s">
        <v>41</v>
      </c>
      <c r="B7" s="8">
        <v>13</v>
      </c>
    </row>
    <row r="8" spans="1:2" x14ac:dyDescent="0.45">
      <c r="A8" s="8" t="s">
        <v>26</v>
      </c>
      <c r="B8" s="8">
        <v>14</v>
      </c>
    </row>
    <row r="9" spans="1:2" x14ac:dyDescent="0.45">
      <c r="A9" s="8" t="s">
        <v>22</v>
      </c>
      <c r="B9" s="8">
        <v>69</v>
      </c>
    </row>
    <row r="10" spans="1:2" x14ac:dyDescent="0.45">
      <c r="A10" s="8" t="s">
        <v>147</v>
      </c>
      <c r="B10" s="8">
        <v>190</v>
      </c>
    </row>
    <row r="11" spans="1:2" x14ac:dyDescent="0.45">
      <c r="A11"/>
      <c r="B11"/>
    </row>
    <row r="12" spans="1:2" x14ac:dyDescent="0.45">
      <c r="A12"/>
      <c r="B12"/>
    </row>
    <row r="13" spans="1:2" x14ac:dyDescent="0.45">
      <c r="A13"/>
      <c r="B13"/>
    </row>
    <row r="14" spans="1:2" x14ac:dyDescent="0.45">
      <c r="A14"/>
      <c r="B14"/>
    </row>
    <row r="15" spans="1:2" x14ac:dyDescent="0.45">
      <c r="A15"/>
      <c r="B15"/>
    </row>
    <row r="16" spans="1:2" x14ac:dyDescent="0.45">
      <c r="A16"/>
      <c r="B16"/>
    </row>
    <row r="17" spans="1:2" x14ac:dyDescent="0.45">
      <c r="A17"/>
      <c r="B17"/>
    </row>
    <row r="18" spans="1:2" x14ac:dyDescent="0.45">
      <c r="A18"/>
      <c r="B1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CB16-51E0-4EB6-A352-5CD0977A07CD}">
  <dimension ref="A3:B7"/>
  <sheetViews>
    <sheetView workbookViewId="0">
      <selection activeCell="N12" sqref="N12"/>
    </sheetView>
  </sheetViews>
  <sheetFormatPr defaultRowHeight="14.25" x14ac:dyDescent="0.45"/>
  <cols>
    <col min="1" max="1" width="17.46484375" style="8" bestFit="1" customWidth="1"/>
    <col min="2" max="2" width="19.86328125" style="8" bestFit="1" customWidth="1"/>
    <col min="3" max="16384" width="9.06640625" style="8"/>
  </cols>
  <sheetData>
    <row r="3" spans="1:2" x14ac:dyDescent="0.45">
      <c r="A3" s="9" t="s">
        <v>146</v>
      </c>
      <c r="B3" s="8" t="s">
        <v>149</v>
      </c>
    </row>
    <row r="4" spans="1:2" x14ac:dyDescent="0.45">
      <c r="A4" s="8" t="s">
        <v>21</v>
      </c>
      <c r="B4" s="8">
        <v>101</v>
      </c>
    </row>
    <row r="5" spans="1:2" x14ac:dyDescent="0.45">
      <c r="A5" s="8" t="s">
        <v>30</v>
      </c>
      <c r="B5" s="8">
        <v>61</v>
      </c>
    </row>
    <row r="6" spans="1:2" x14ac:dyDescent="0.45">
      <c r="A6" s="8" t="s">
        <v>35</v>
      </c>
      <c r="B6" s="8">
        <v>28</v>
      </c>
    </row>
    <row r="7" spans="1:2" x14ac:dyDescent="0.45">
      <c r="A7" s="8" t="s">
        <v>147</v>
      </c>
      <c r="B7" s="8">
        <v>190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5FB8-900B-4C7E-B3E2-052548621607}">
  <dimension ref="A1:P27"/>
  <sheetViews>
    <sheetView tabSelected="1" workbookViewId="0">
      <selection activeCell="L9" sqref="L9"/>
    </sheetView>
  </sheetViews>
  <sheetFormatPr defaultRowHeight="14.25" x14ac:dyDescent="0.45"/>
  <sheetData>
    <row r="1" spans="1:12" x14ac:dyDescent="0.45">
      <c r="A1" s="10" t="s">
        <v>150</v>
      </c>
      <c r="B1" s="10"/>
      <c r="C1" s="10"/>
      <c r="D1" s="10"/>
      <c r="E1" s="10"/>
    </row>
    <row r="2" spans="1:12" x14ac:dyDescent="0.45">
      <c r="A2" s="11" t="s">
        <v>151</v>
      </c>
      <c r="B2" s="11"/>
    </row>
    <row r="3" spans="1:12" x14ac:dyDescent="0.45">
      <c r="A3" s="12" t="s">
        <v>152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45">
      <c r="A4" s="12" t="s">
        <v>153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45">
      <c r="A5" s="12" t="s">
        <v>170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7" spans="1:12" x14ac:dyDescent="0.45">
      <c r="A7" s="11" t="s">
        <v>154</v>
      </c>
      <c r="B7" s="11"/>
    </row>
    <row r="8" spans="1:12" x14ac:dyDescent="0.45">
      <c r="A8" s="12" t="s">
        <v>169</v>
      </c>
      <c r="B8" s="12"/>
      <c r="C8" s="12"/>
      <c r="D8" s="12"/>
      <c r="E8" s="12"/>
      <c r="F8" s="12"/>
      <c r="G8" s="12"/>
      <c r="H8" s="12"/>
    </row>
    <row r="9" spans="1:12" x14ac:dyDescent="0.45">
      <c r="A9" s="14" t="s">
        <v>155</v>
      </c>
      <c r="B9" s="14"/>
      <c r="C9" s="14"/>
      <c r="D9" s="14"/>
      <c r="E9" s="14"/>
      <c r="F9" s="14"/>
      <c r="G9" s="14"/>
    </row>
    <row r="10" spans="1:12" x14ac:dyDescent="0.45">
      <c r="A10" s="13" t="s">
        <v>156</v>
      </c>
      <c r="B10" s="13"/>
      <c r="C10" s="13"/>
      <c r="D10" s="13"/>
      <c r="E10" s="13"/>
      <c r="F10" s="13"/>
      <c r="G10" s="13"/>
    </row>
    <row r="12" spans="1:12" x14ac:dyDescent="0.45">
      <c r="A12" s="11" t="s">
        <v>157</v>
      </c>
      <c r="B12" s="11"/>
      <c r="C12" s="11"/>
    </row>
    <row r="13" spans="1:12" x14ac:dyDescent="0.45">
      <c r="A13" s="12" t="s">
        <v>159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45">
      <c r="A14" s="14" t="s">
        <v>158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2" x14ac:dyDescent="0.45">
      <c r="A15" s="12" t="s">
        <v>160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7" spans="1:16" x14ac:dyDescent="0.45">
      <c r="A17" s="11" t="s">
        <v>161</v>
      </c>
      <c r="B17" s="11"/>
      <c r="C17" s="11"/>
    </row>
    <row r="18" spans="1:16" x14ac:dyDescent="0.45">
      <c r="A18" s="12" t="s">
        <v>162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45">
      <c r="A19" s="12" t="s">
        <v>163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3" spans="1:16" x14ac:dyDescent="0.45">
      <c r="A23" s="15" t="s">
        <v>164</v>
      </c>
      <c r="B23" s="15"/>
    </row>
    <row r="24" spans="1:16" x14ac:dyDescent="0.45">
      <c r="A24" s="13" t="s">
        <v>165</v>
      </c>
      <c r="B24" s="13"/>
      <c r="C24" s="13"/>
      <c r="D24" s="13"/>
      <c r="E24" s="13"/>
      <c r="F24" s="13"/>
      <c r="G24" s="13"/>
      <c r="H24" s="13"/>
    </row>
    <row r="25" spans="1:16" x14ac:dyDescent="0.45">
      <c r="A25" s="13" t="s">
        <v>166</v>
      </c>
      <c r="B25" s="13"/>
      <c r="C25" s="13"/>
      <c r="D25" s="13"/>
      <c r="E25" s="13"/>
      <c r="F25" s="13"/>
      <c r="G25" s="13"/>
      <c r="H25" s="13"/>
    </row>
    <row r="26" spans="1:16" x14ac:dyDescent="0.45">
      <c r="A26" s="13" t="s">
        <v>167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6" x14ac:dyDescent="0.45">
      <c r="A27" s="13" t="s">
        <v>168</v>
      </c>
      <c r="B27" s="13"/>
      <c r="C27" s="13"/>
      <c r="D27" s="13"/>
      <c r="E27" s="13"/>
      <c r="F27" s="13"/>
      <c r="G27" s="13"/>
      <c r="H27" s="13"/>
      <c r="I27" s="13"/>
      <c r="J27" s="13"/>
    </row>
  </sheetData>
  <mergeCells count="21">
    <mergeCell ref="A24:H24"/>
    <mergeCell ref="A25:H25"/>
    <mergeCell ref="A26:K26"/>
    <mergeCell ref="A27:J27"/>
    <mergeCell ref="A5:K5"/>
    <mergeCell ref="A14:J14"/>
    <mergeCell ref="A15:K15"/>
    <mergeCell ref="A17:C17"/>
    <mergeCell ref="A18:P18"/>
    <mergeCell ref="A19:K19"/>
    <mergeCell ref="A23:B23"/>
    <mergeCell ref="A8:H8"/>
    <mergeCell ref="A9:G9"/>
    <mergeCell ref="A10:G10"/>
    <mergeCell ref="A12:C12"/>
    <mergeCell ref="A13:K13"/>
    <mergeCell ref="A1:E1"/>
    <mergeCell ref="A2:B2"/>
    <mergeCell ref="A3:L3"/>
    <mergeCell ref="A4:L4"/>
    <mergeCell ref="A7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Dataset</vt:lpstr>
      <vt:lpstr>PivotChart1</vt:lpstr>
      <vt:lpstr>PivotChart2</vt:lpstr>
      <vt:lpstr>PivotChart3</vt:lpstr>
      <vt:lpstr>Analysis &amp; 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Eman Abbasi</cp:lastModifiedBy>
  <cp:revision/>
  <dcterms:created xsi:type="dcterms:W3CDTF">2022-11-04T20:14:11Z</dcterms:created>
  <dcterms:modified xsi:type="dcterms:W3CDTF">2026-05-07T12:02:40Z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